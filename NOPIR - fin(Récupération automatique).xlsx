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6"/>
  <workbookPr filterPrivacy="1" defaultThemeVersion="124226"/>
  <xr:revisionPtr revIDLastSave="0" documentId="13_ncr:1_{77965831-BE50-42CE-A528-E69720D989F2}" xr6:coauthVersionLast="36" xr6:coauthVersionMax="36" xr10:uidLastSave="{00000000-0000-0000-0000-000000000000}"/>
  <bookViews>
    <workbookView xWindow="24" yWindow="0" windowWidth="23016" windowHeight="12360" activeTab="2" xr2:uid="{00000000-000D-0000-FFFF-FFFF00000000}"/>
  </bookViews>
  <sheets>
    <sheet name="Questionnaire " sheetId="1" r:id="rId1"/>
    <sheet name="Résultat" sheetId="2" r:id="rId2"/>
    <sheet name="TOTAL" sheetId="3" r:id="rId3"/>
    <sheet name="Feuil1" sheetId="4" r:id="rId4"/>
    <sheet name="pv" sheetId="5" r:id="rId5"/>
    <sheet name="type de poste " sheetId="6" r:id="rId6"/>
  </sheets>
  <definedNames>
    <definedName name="_xlnm.Print_Area" localSheetId="4">pv!$A$1:$S$357</definedName>
  </definedNames>
  <calcPr calcId="191029"/>
</workbook>
</file>

<file path=xl/calcChain.xml><?xml version="1.0" encoding="utf-8"?>
<calcChain xmlns="http://schemas.openxmlformats.org/spreadsheetml/2006/main">
  <c r="E348" i="5" l="1"/>
  <c r="E346" i="5"/>
  <c r="E344" i="5" l="1"/>
  <c r="E338" i="5"/>
  <c r="E334" i="5"/>
  <c r="E332" i="5"/>
  <c r="D270" i="5" l="1"/>
  <c r="L270" i="5"/>
  <c r="D258" i="5"/>
  <c r="N270" i="5"/>
  <c r="N265" i="5"/>
  <c r="L265" i="5"/>
  <c r="F270" i="5"/>
  <c r="F265" i="5"/>
  <c r="D265" i="5"/>
  <c r="N258" i="5"/>
  <c r="L258" i="5"/>
  <c r="N253" i="5"/>
  <c r="L253" i="5"/>
  <c r="F258" i="5"/>
  <c r="F253" i="5"/>
  <c r="D253" i="5"/>
  <c r="N247" i="5"/>
  <c r="N242" i="5"/>
  <c r="L242" i="5"/>
  <c r="D247" i="5"/>
  <c r="F247" i="5"/>
  <c r="F242" i="5"/>
  <c r="D242" i="5"/>
  <c r="N235" i="5"/>
  <c r="L235" i="5"/>
  <c r="N230" i="5"/>
  <c r="L230" i="5"/>
  <c r="F235" i="5"/>
  <c r="D235" i="5"/>
  <c r="F230" i="5"/>
  <c r="D230" i="5"/>
  <c r="N221" i="5"/>
  <c r="L221" i="5"/>
  <c r="N216" i="5"/>
  <c r="L216" i="5"/>
  <c r="F221" i="5"/>
  <c r="D221" i="5"/>
  <c r="F216" i="5"/>
  <c r="D216" i="5"/>
  <c r="U57" i="3"/>
  <c r="U56" i="3"/>
  <c r="U35" i="3"/>
  <c r="U55" i="3"/>
  <c r="Q55" i="3"/>
  <c r="Q54" i="3"/>
  <c r="Q53" i="3"/>
  <c r="U51" i="3"/>
  <c r="U50" i="3"/>
  <c r="U49" i="3"/>
  <c r="Q49" i="3"/>
  <c r="Q48" i="3"/>
  <c r="Q47" i="3"/>
  <c r="U43" i="3"/>
  <c r="U42" i="3"/>
  <c r="Q44" i="3"/>
  <c r="Q43" i="3"/>
  <c r="U36" i="3"/>
  <c r="U34" i="3"/>
  <c r="Q36" i="3"/>
  <c r="Q35" i="3"/>
  <c r="Q34" i="3"/>
  <c r="P50" i="3" l="1"/>
  <c r="F142" i="5" s="1"/>
  <c r="T37" i="3"/>
  <c r="P56" i="3"/>
  <c r="F146" i="5" s="1"/>
  <c r="E340" i="5" s="1"/>
  <c r="T52" i="3"/>
  <c r="F144" i="5" s="1"/>
  <c r="E342" i="5" s="1"/>
  <c r="T58" i="3"/>
  <c r="F148" i="5" s="1"/>
  <c r="P37" i="3"/>
  <c r="Q42" i="3"/>
  <c r="P45" i="3" s="1"/>
  <c r="E196" i="5" l="1"/>
  <c r="E188" i="5"/>
  <c r="E180" i="5"/>
  <c r="U44" i="3"/>
  <c r="T45" i="3" s="1"/>
  <c r="F140" i="5" s="1"/>
  <c r="F138" i="5"/>
  <c r="E165" i="5" s="1"/>
  <c r="F136" i="5"/>
  <c r="F134" i="5"/>
  <c r="E153" i="5" s="1"/>
  <c r="E172" i="5" l="1"/>
  <c r="E330" i="5"/>
  <c r="E204" i="5"/>
  <c r="O144" i="5"/>
  <c r="O142" i="5"/>
  <c r="E158" i="5"/>
  <c r="G136" i="5"/>
  <c r="I136" i="5"/>
  <c r="I146" i="5"/>
  <c r="G146" i="5"/>
  <c r="K146" i="5"/>
  <c r="M146" i="5"/>
  <c r="O146" i="5"/>
  <c r="G144" i="5"/>
  <c r="I142" i="5"/>
  <c r="I144" i="5"/>
  <c r="G142" i="5"/>
  <c r="K142" i="5"/>
  <c r="K144" i="5"/>
  <c r="M142" i="5"/>
  <c r="M144" i="5"/>
  <c r="M140" i="5"/>
  <c r="K140" i="5"/>
  <c r="I140" i="5"/>
  <c r="G140" i="5"/>
  <c r="O140" i="5"/>
  <c r="M134" i="5"/>
  <c r="K134" i="5"/>
  <c r="O134" i="5"/>
  <c r="K138" i="5"/>
  <c r="O138" i="5"/>
  <c r="M138" i="5"/>
  <c r="I138" i="5"/>
  <c r="G138" i="5"/>
  <c r="M136" i="5"/>
  <c r="O136" i="5"/>
  <c r="K136" i="5"/>
  <c r="G134" i="5"/>
  <c r="I134" i="5"/>
  <c r="C28" i="5"/>
  <c r="C30" i="5" s="1"/>
  <c r="M148" i="5" l="1"/>
  <c r="I148" i="5"/>
  <c r="G148" i="5"/>
  <c r="K148" i="5"/>
  <c r="O28" i="5"/>
  <c r="D105" i="5"/>
  <c r="C107" i="5" s="1"/>
  <c r="O105" i="5" l="1"/>
  <c r="D83" i="5"/>
  <c r="O83" i="5" s="1"/>
  <c r="D62" i="5"/>
  <c r="D46" i="5"/>
  <c r="C48" i="5" s="1"/>
  <c r="O62" i="5" l="1"/>
  <c r="C64" i="5"/>
  <c r="O46" i="5"/>
  <c r="C85" i="5"/>
  <c r="O4" i="2"/>
  <c r="H39" i="2" s="1"/>
  <c r="L4" i="2"/>
  <c r="H36" i="2" s="1"/>
  <c r="K4" i="2"/>
  <c r="H35" i="2" s="1"/>
  <c r="J4" i="2"/>
  <c r="H34" i="2" s="1"/>
  <c r="I4" i="2"/>
  <c r="H33" i="2" s="1"/>
  <c r="H4" i="2"/>
  <c r="H32" i="2" s="1"/>
  <c r="N4" i="2"/>
  <c r="G4" i="2"/>
  <c r="H31" i="2" s="1"/>
  <c r="AJ4" i="2" l="1"/>
  <c r="H60" i="2" s="1"/>
  <c r="AI4" i="2"/>
  <c r="H59" i="2" s="1"/>
  <c r="AH4" i="2"/>
  <c r="H58" i="2" s="1"/>
  <c r="AG4" i="2"/>
  <c r="H57" i="2" s="1"/>
  <c r="AF4" i="2"/>
  <c r="H56" i="2" s="1"/>
  <c r="AE4" i="2"/>
  <c r="H55" i="2" s="1"/>
  <c r="AD4" i="2"/>
  <c r="H54" i="2" s="1"/>
  <c r="AC4" i="2"/>
  <c r="H53" i="2" s="1"/>
  <c r="AB4" i="2"/>
  <c r="H52" i="2" s="1"/>
  <c r="AA4" i="2"/>
  <c r="H51" i="2" s="1"/>
  <c r="Z4" i="2"/>
  <c r="H50" i="2" s="1"/>
  <c r="Y4" i="2"/>
  <c r="H49" i="2" s="1"/>
  <c r="X4" i="2"/>
  <c r="H48" i="2" s="1"/>
  <c r="W4" i="2"/>
  <c r="H47" i="2" s="1"/>
  <c r="V4" i="2"/>
  <c r="H46" i="2" s="1"/>
  <c r="U4" i="2"/>
  <c r="H45" i="2" s="1"/>
  <c r="T4" i="2"/>
  <c r="H44" i="2" s="1"/>
  <c r="S4" i="2"/>
  <c r="H43" i="2" s="1"/>
  <c r="R4" i="2"/>
  <c r="H42" i="2" s="1"/>
  <c r="Q4" i="2"/>
  <c r="H41" i="2" s="1"/>
  <c r="P4" i="2"/>
  <c r="H40" i="2" s="1"/>
  <c r="H38" i="2"/>
  <c r="M4" i="2"/>
  <c r="H37" i="2" s="1"/>
  <c r="F4" i="2"/>
  <c r="E4" i="2"/>
  <c r="D4" i="2"/>
  <c r="C4" i="2"/>
  <c r="B4" i="2"/>
  <c r="B179" i="3"/>
  <c r="B101" i="3"/>
  <c r="B102" i="3"/>
  <c r="B100" i="3"/>
  <c r="B242" i="3"/>
  <c r="J242" i="3" s="1"/>
  <c r="B241" i="3"/>
  <c r="B240" i="3"/>
  <c r="B239" i="3"/>
  <c r="B238" i="3"/>
  <c r="B237" i="3"/>
  <c r="B236" i="3"/>
  <c r="B235" i="3"/>
  <c r="J235" i="3" s="1"/>
  <c r="B234" i="3"/>
  <c r="B233" i="3"/>
  <c r="B232" i="3"/>
  <c r="K232" i="3" s="1"/>
  <c r="B231" i="3"/>
  <c r="J231" i="3" s="1"/>
  <c r="B230" i="3"/>
  <c r="B229" i="3"/>
  <c r="B228" i="3"/>
  <c r="B227" i="3"/>
  <c r="I227" i="3" s="1"/>
  <c r="B226" i="3"/>
  <c r="B225" i="3"/>
  <c r="B224" i="3"/>
  <c r="B223" i="3"/>
  <c r="B222" i="3"/>
  <c r="I222" i="3" s="1"/>
  <c r="B221" i="3"/>
  <c r="B220" i="3"/>
  <c r="B219" i="3"/>
  <c r="J219" i="3" s="1"/>
  <c r="B218" i="3"/>
  <c r="B217" i="3"/>
  <c r="B216" i="3"/>
  <c r="K216" i="3" s="1"/>
  <c r="B215" i="3"/>
  <c r="J215" i="3" s="1"/>
  <c r="B214" i="3"/>
  <c r="B213" i="3"/>
  <c r="B212" i="3"/>
  <c r="B211" i="3"/>
  <c r="I211" i="3" s="1"/>
  <c r="B210" i="3"/>
  <c r="B209" i="3"/>
  <c r="B208" i="3"/>
  <c r="B207" i="3"/>
  <c r="B206" i="3"/>
  <c r="I206" i="3" s="1"/>
  <c r="B205" i="3"/>
  <c r="B204" i="3"/>
  <c r="B203" i="3"/>
  <c r="J203" i="3" s="1"/>
  <c r="B202" i="3"/>
  <c r="B201" i="3"/>
  <c r="B200" i="3"/>
  <c r="K200" i="3" s="1"/>
  <c r="B199" i="3"/>
  <c r="J199" i="3" s="1"/>
  <c r="B198" i="3"/>
  <c r="I198" i="3" s="1"/>
  <c r="B197" i="3"/>
  <c r="B196" i="3"/>
  <c r="I196" i="3" s="1"/>
  <c r="B195" i="3"/>
  <c r="B194" i="3"/>
  <c r="B193" i="3"/>
  <c r="B192" i="3"/>
  <c r="B191" i="3"/>
  <c r="I191" i="3" s="1"/>
  <c r="B190" i="3"/>
  <c r="B189" i="3"/>
  <c r="B188" i="3"/>
  <c r="B187" i="3"/>
  <c r="J187" i="3" s="1"/>
  <c r="B186" i="3"/>
  <c r="B185" i="3"/>
  <c r="B184" i="3"/>
  <c r="K184" i="3" s="1"/>
  <c r="B183" i="3"/>
  <c r="J183" i="3" s="1"/>
  <c r="B182" i="3"/>
  <c r="I182" i="3" s="1"/>
  <c r="B181" i="3"/>
  <c r="B180" i="3"/>
  <c r="I180" i="3" s="1"/>
  <c r="B178" i="3"/>
  <c r="B177" i="3"/>
  <c r="I177" i="3" s="1"/>
  <c r="B176" i="3"/>
  <c r="B175" i="3"/>
  <c r="I175" i="3" s="1"/>
  <c r="B174" i="3"/>
  <c r="B173" i="3"/>
  <c r="I173" i="3" s="1"/>
  <c r="B172" i="3"/>
  <c r="B171" i="3"/>
  <c r="I171" i="3" s="1"/>
  <c r="B170" i="3"/>
  <c r="B169" i="3"/>
  <c r="I169" i="3" s="1"/>
  <c r="B168" i="3"/>
  <c r="B167" i="3"/>
  <c r="J167" i="3" s="1"/>
  <c r="B166" i="3"/>
  <c r="I166" i="3" s="1"/>
  <c r="B165" i="3"/>
  <c r="B164" i="3"/>
  <c r="B163" i="3"/>
  <c r="B162" i="3"/>
  <c r="I162" i="3" s="1"/>
  <c r="B161" i="3"/>
  <c r="B160" i="3"/>
  <c r="B159" i="3"/>
  <c r="I159" i="3" s="1"/>
  <c r="B158" i="3"/>
  <c r="B157" i="3"/>
  <c r="I157" i="3" s="1"/>
  <c r="B156" i="3"/>
  <c r="B155" i="3"/>
  <c r="B154" i="3"/>
  <c r="I154" i="3" s="1"/>
  <c r="B153" i="3"/>
  <c r="I153" i="3" s="1"/>
  <c r="B152" i="3"/>
  <c r="B151" i="3"/>
  <c r="J151" i="3" s="1"/>
  <c r="B150" i="3"/>
  <c r="B149" i="3"/>
  <c r="I149" i="3" s="1"/>
  <c r="B148" i="3"/>
  <c r="B147" i="3"/>
  <c r="B146" i="3"/>
  <c r="B145" i="3"/>
  <c r="I145" i="3" s="1"/>
  <c r="B144" i="3"/>
  <c r="B143" i="3"/>
  <c r="B142" i="3"/>
  <c r="I142" i="3" s="1"/>
  <c r="B141" i="3"/>
  <c r="I141" i="3" s="1"/>
  <c r="B140" i="3"/>
  <c r="B139" i="3"/>
  <c r="B138" i="3"/>
  <c r="I138" i="3" s="1"/>
  <c r="B137" i="3"/>
  <c r="I137" i="3" s="1"/>
  <c r="B136" i="3"/>
  <c r="B135" i="3"/>
  <c r="J135" i="3" s="1"/>
  <c r="B134" i="3"/>
  <c r="I134" i="3" s="1"/>
  <c r="B133" i="3"/>
  <c r="I133" i="3" s="1"/>
  <c r="B132" i="3"/>
  <c r="B131" i="3"/>
  <c r="B130" i="3"/>
  <c r="B129" i="3"/>
  <c r="I129" i="3" s="1"/>
  <c r="B128" i="3"/>
  <c r="B127" i="3"/>
  <c r="B126" i="3"/>
  <c r="I126" i="3" s="1"/>
  <c r="B125" i="3"/>
  <c r="I125" i="3" s="1"/>
  <c r="B124" i="3"/>
  <c r="B123" i="3"/>
  <c r="I123" i="3" s="1"/>
  <c r="B122" i="3"/>
  <c r="B121" i="3"/>
  <c r="I121" i="3" s="1"/>
  <c r="B120" i="3"/>
  <c r="B119" i="3"/>
  <c r="J119" i="3" s="1"/>
  <c r="B118" i="3"/>
  <c r="B117" i="3"/>
  <c r="I117" i="3" s="1"/>
  <c r="B116" i="3"/>
  <c r="B115" i="3"/>
  <c r="I115" i="3" s="1"/>
  <c r="B114" i="3"/>
  <c r="B113" i="3"/>
  <c r="I113" i="3" s="1"/>
  <c r="B112" i="3"/>
  <c r="B111" i="3"/>
  <c r="I111" i="3" s="1"/>
  <c r="B110" i="3"/>
  <c r="B109" i="3"/>
  <c r="I109" i="3" s="1"/>
  <c r="B108" i="3"/>
  <c r="B107" i="3"/>
  <c r="B106" i="3"/>
  <c r="B105" i="3"/>
  <c r="I105" i="3" s="1"/>
  <c r="B104" i="3"/>
  <c r="B103" i="3"/>
  <c r="J103" i="3" s="1"/>
  <c r="B99" i="3"/>
  <c r="B98" i="3"/>
  <c r="I98" i="3" s="1"/>
  <c r="B97" i="3"/>
  <c r="B96" i="3"/>
  <c r="B95" i="3"/>
  <c r="B94" i="3"/>
  <c r="I94" i="3" s="1"/>
  <c r="B93" i="3"/>
  <c r="B92" i="3"/>
  <c r="B91" i="3"/>
  <c r="J91" i="3" s="1"/>
  <c r="B90" i="3"/>
  <c r="B89" i="3"/>
  <c r="B88" i="3"/>
  <c r="B87" i="3"/>
  <c r="J87" i="3" s="1"/>
  <c r="B86" i="3"/>
  <c r="B85" i="3"/>
  <c r="B84" i="3"/>
  <c r="B83" i="3"/>
  <c r="B82" i="3"/>
  <c r="I82" i="3" s="1"/>
  <c r="B81" i="3"/>
  <c r="B80" i="3"/>
  <c r="B79" i="3"/>
  <c r="B78" i="3"/>
  <c r="I78" i="3" s="1"/>
  <c r="B77" i="3"/>
  <c r="B76" i="3"/>
  <c r="B75" i="3"/>
  <c r="J75" i="3" s="1"/>
  <c r="B74" i="3"/>
  <c r="B73" i="3"/>
  <c r="B72" i="3"/>
  <c r="B71" i="3"/>
  <c r="J71" i="3" s="1"/>
  <c r="B70" i="3"/>
  <c r="I70" i="3" s="1"/>
  <c r="B69" i="3"/>
  <c r="B68" i="3"/>
  <c r="I68" i="3" s="1"/>
  <c r="B67" i="3"/>
  <c r="B66" i="3"/>
  <c r="I66" i="3" s="1"/>
  <c r="B65" i="3"/>
  <c r="B64" i="3"/>
  <c r="B63" i="3"/>
  <c r="I63" i="3" s="1"/>
  <c r="B62" i="3"/>
  <c r="B61" i="3"/>
  <c r="B60" i="3"/>
  <c r="B59" i="3"/>
  <c r="J59" i="3" s="1"/>
  <c r="B58" i="3"/>
  <c r="K58" i="3" s="1"/>
  <c r="B57" i="3"/>
  <c r="B56" i="3"/>
  <c r="B55" i="3"/>
  <c r="J55" i="3" s="1"/>
  <c r="B54" i="3"/>
  <c r="B53" i="3"/>
  <c r="B52" i="3"/>
  <c r="B51" i="3"/>
  <c r="I51" i="3" s="1"/>
  <c r="B50" i="3"/>
  <c r="B49" i="3"/>
  <c r="B48" i="3"/>
  <c r="K48" i="3" s="1"/>
  <c r="B47" i="3"/>
  <c r="I47" i="3" s="1"/>
  <c r="B46" i="3"/>
  <c r="B45" i="3"/>
  <c r="B44" i="3"/>
  <c r="B43" i="3"/>
  <c r="J43" i="3" s="1"/>
  <c r="B42" i="3"/>
  <c r="B41" i="3"/>
  <c r="B40" i="3"/>
  <c r="B39" i="3"/>
  <c r="I39" i="3" s="1"/>
  <c r="B38" i="3"/>
  <c r="K38" i="3" s="1"/>
  <c r="B37" i="3"/>
  <c r="B36" i="3"/>
  <c r="B35" i="3"/>
  <c r="B34" i="3"/>
  <c r="K34" i="3" s="1"/>
  <c r="B33" i="3"/>
  <c r="B32" i="3"/>
  <c r="I32" i="3" s="1"/>
  <c r="B31" i="3"/>
  <c r="B30" i="3"/>
  <c r="I30" i="3" s="1"/>
  <c r="B29" i="3"/>
  <c r="B28" i="3"/>
  <c r="B27" i="3"/>
  <c r="B26" i="3"/>
  <c r="I26" i="3" s="1"/>
  <c r="B25" i="3"/>
  <c r="B24" i="3"/>
  <c r="B23" i="3"/>
  <c r="I23" i="3" s="1"/>
  <c r="B22" i="3"/>
  <c r="I22" i="3" s="1"/>
  <c r="B21" i="3"/>
  <c r="B20" i="3"/>
  <c r="I20" i="3" s="1"/>
  <c r="B19" i="3"/>
  <c r="B18" i="3"/>
  <c r="J18" i="3" s="1"/>
  <c r="B17" i="3"/>
  <c r="B16" i="3"/>
  <c r="B15" i="3"/>
  <c r="I15" i="3" s="1"/>
  <c r="B14" i="3"/>
  <c r="K14" i="3" s="1"/>
  <c r="B13" i="3"/>
  <c r="B12" i="3"/>
  <c r="B11" i="3"/>
  <c r="B10" i="3"/>
  <c r="I10" i="3" s="1"/>
  <c r="B9" i="3"/>
  <c r="B8" i="3"/>
  <c r="K8" i="3" s="1"/>
  <c r="B7" i="3"/>
  <c r="B6" i="3"/>
  <c r="I6" i="3" s="1"/>
  <c r="B5" i="3"/>
  <c r="B4" i="3"/>
  <c r="J4" i="3" s="1"/>
  <c r="B3" i="3"/>
  <c r="M5" i="3" l="1"/>
  <c r="L5" i="3"/>
  <c r="K5" i="3"/>
  <c r="J5" i="3"/>
  <c r="L9" i="3"/>
  <c r="M9" i="3"/>
  <c r="K9" i="3"/>
  <c r="J9" i="3"/>
  <c r="L13" i="3"/>
  <c r="K13" i="3"/>
  <c r="M13" i="3"/>
  <c r="J13" i="3"/>
  <c r="K17" i="3"/>
  <c r="M17" i="3"/>
  <c r="L17" i="3"/>
  <c r="J17" i="3"/>
  <c r="M21" i="3"/>
  <c r="J21" i="3"/>
  <c r="L21" i="3"/>
  <c r="M25" i="3"/>
  <c r="J25" i="3"/>
  <c r="L25" i="3"/>
  <c r="M29" i="3"/>
  <c r="J29" i="3"/>
  <c r="L29" i="3"/>
  <c r="K29" i="3"/>
  <c r="M33" i="3"/>
  <c r="K33" i="3"/>
  <c r="J33" i="3"/>
  <c r="L33" i="3"/>
  <c r="M37" i="3"/>
  <c r="K37" i="3"/>
  <c r="J37" i="3"/>
  <c r="L37" i="3"/>
  <c r="M41" i="3"/>
  <c r="J41" i="3"/>
  <c r="L41" i="3"/>
  <c r="M45" i="3"/>
  <c r="J45" i="3"/>
  <c r="L45" i="3"/>
  <c r="M49" i="3"/>
  <c r="J49" i="3"/>
  <c r="L49" i="3"/>
  <c r="K49" i="3"/>
  <c r="M53" i="3"/>
  <c r="J53" i="3"/>
  <c r="L53" i="3"/>
  <c r="K53" i="3"/>
  <c r="M57" i="3"/>
  <c r="K57" i="3"/>
  <c r="J57" i="3"/>
  <c r="L57" i="3"/>
  <c r="M61" i="3"/>
  <c r="K61" i="3"/>
  <c r="J61" i="3"/>
  <c r="L61" i="3"/>
  <c r="M65" i="3"/>
  <c r="K65" i="3"/>
  <c r="J65" i="3"/>
  <c r="L65" i="3"/>
  <c r="M69" i="3"/>
  <c r="J69" i="3"/>
  <c r="L69" i="3"/>
  <c r="M73" i="3"/>
  <c r="J73" i="3"/>
  <c r="L73" i="3"/>
  <c r="M77" i="3"/>
  <c r="J77" i="3"/>
  <c r="L77" i="3"/>
  <c r="K77" i="3"/>
  <c r="M81" i="3"/>
  <c r="J81" i="3"/>
  <c r="L81" i="3"/>
  <c r="K81" i="3"/>
  <c r="M85" i="3"/>
  <c r="J85" i="3"/>
  <c r="L85" i="3"/>
  <c r="K85" i="3"/>
  <c r="M89" i="3"/>
  <c r="J89" i="3"/>
  <c r="L89" i="3"/>
  <c r="K89" i="3"/>
  <c r="M93" i="3"/>
  <c r="J93" i="3"/>
  <c r="L93" i="3"/>
  <c r="K93" i="3"/>
  <c r="M97" i="3"/>
  <c r="J97" i="3"/>
  <c r="L97" i="3"/>
  <c r="K97" i="3"/>
  <c r="L104" i="3"/>
  <c r="K104" i="3"/>
  <c r="M104" i="3"/>
  <c r="J104" i="3"/>
  <c r="L108" i="3"/>
  <c r="K108" i="3"/>
  <c r="M108" i="3"/>
  <c r="J108" i="3"/>
  <c r="L112" i="3"/>
  <c r="K112" i="3"/>
  <c r="M112" i="3"/>
  <c r="J112" i="3"/>
  <c r="L116" i="3"/>
  <c r="K116" i="3"/>
  <c r="M116" i="3"/>
  <c r="J116" i="3"/>
  <c r="L120" i="3"/>
  <c r="K120" i="3"/>
  <c r="M120" i="3"/>
  <c r="J120" i="3"/>
  <c r="L124" i="3"/>
  <c r="K124" i="3"/>
  <c r="M124" i="3"/>
  <c r="J124" i="3"/>
  <c r="L128" i="3"/>
  <c r="K128" i="3"/>
  <c r="M128" i="3"/>
  <c r="J128" i="3"/>
  <c r="L132" i="3"/>
  <c r="K132" i="3"/>
  <c r="M132" i="3"/>
  <c r="J132" i="3"/>
  <c r="L136" i="3"/>
  <c r="M136" i="3"/>
  <c r="J136" i="3"/>
  <c r="L140" i="3"/>
  <c r="M140" i="3"/>
  <c r="J140" i="3"/>
  <c r="L144" i="3"/>
  <c r="M144" i="3"/>
  <c r="J144" i="3"/>
  <c r="L148" i="3"/>
  <c r="M148" i="3"/>
  <c r="J148" i="3"/>
  <c r="L152" i="3"/>
  <c r="M152" i="3"/>
  <c r="J152" i="3"/>
  <c r="L156" i="3"/>
  <c r="M156" i="3"/>
  <c r="J156" i="3"/>
  <c r="L160" i="3"/>
  <c r="M160" i="3"/>
  <c r="J160" i="3"/>
  <c r="L164" i="3"/>
  <c r="M164" i="3"/>
  <c r="J164" i="3"/>
  <c r="L168" i="3"/>
  <c r="M168" i="3"/>
  <c r="J168" i="3"/>
  <c r="L172" i="3"/>
  <c r="M172" i="3"/>
  <c r="J172" i="3"/>
  <c r="L176" i="3"/>
  <c r="M176" i="3"/>
  <c r="J176" i="3"/>
  <c r="M181" i="3"/>
  <c r="J181" i="3"/>
  <c r="L181" i="3"/>
  <c r="K181" i="3"/>
  <c r="I181" i="3"/>
  <c r="M185" i="3"/>
  <c r="J185" i="3"/>
  <c r="L185" i="3"/>
  <c r="K185" i="3"/>
  <c r="I185" i="3"/>
  <c r="M189" i="3"/>
  <c r="J189" i="3"/>
  <c r="L189" i="3"/>
  <c r="K189" i="3"/>
  <c r="M193" i="3"/>
  <c r="J193" i="3"/>
  <c r="L193" i="3"/>
  <c r="K193" i="3"/>
  <c r="M197" i="3"/>
  <c r="J197" i="3"/>
  <c r="L197" i="3"/>
  <c r="K197" i="3"/>
  <c r="I197" i="3"/>
  <c r="M201" i="3"/>
  <c r="J201" i="3"/>
  <c r="L201" i="3"/>
  <c r="K201" i="3"/>
  <c r="I201" i="3"/>
  <c r="M205" i="3"/>
  <c r="I205" i="3"/>
  <c r="J205" i="3"/>
  <c r="L205" i="3"/>
  <c r="K205" i="3"/>
  <c r="M209" i="3"/>
  <c r="J209" i="3"/>
  <c r="L209" i="3"/>
  <c r="K209" i="3"/>
  <c r="M213" i="3"/>
  <c r="J213" i="3"/>
  <c r="I213" i="3"/>
  <c r="L213" i="3"/>
  <c r="K213" i="3"/>
  <c r="M217" i="3"/>
  <c r="J217" i="3"/>
  <c r="I217" i="3"/>
  <c r="L217" i="3"/>
  <c r="K217" i="3"/>
  <c r="M221" i="3"/>
  <c r="I221" i="3"/>
  <c r="J221" i="3"/>
  <c r="L221" i="3"/>
  <c r="K221" i="3"/>
  <c r="M225" i="3"/>
  <c r="J225" i="3"/>
  <c r="L225" i="3"/>
  <c r="K225" i="3"/>
  <c r="M229" i="3"/>
  <c r="J229" i="3"/>
  <c r="I229" i="3"/>
  <c r="L229" i="3"/>
  <c r="K229" i="3"/>
  <c r="M233" i="3"/>
  <c r="J233" i="3"/>
  <c r="I233" i="3"/>
  <c r="L233" i="3"/>
  <c r="K233" i="3"/>
  <c r="M237" i="3"/>
  <c r="J237" i="3"/>
  <c r="L237" i="3"/>
  <c r="K237" i="3"/>
  <c r="M241" i="3"/>
  <c r="I241" i="3"/>
  <c r="J241" i="3"/>
  <c r="L241" i="3"/>
  <c r="K241" i="3"/>
  <c r="M101" i="3"/>
  <c r="J101" i="3"/>
  <c r="L101" i="3"/>
  <c r="K101" i="3"/>
  <c r="I17" i="3"/>
  <c r="I34" i="3"/>
  <c r="I38" i="3"/>
  <c r="I43" i="3"/>
  <c r="I59" i="3"/>
  <c r="I55" i="3"/>
  <c r="I75" i="3"/>
  <c r="I81" i="3"/>
  <c r="I77" i="3"/>
  <c r="I91" i="3"/>
  <c r="I87" i="3"/>
  <c r="I97" i="3"/>
  <c r="I93" i="3"/>
  <c r="I101" i="3"/>
  <c r="I108" i="3"/>
  <c r="I119" i="3"/>
  <c r="I148" i="3"/>
  <c r="I189" i="3"/>
  <c r="J22" i="3"/>
  <c r="J39" i="3"/>
  <c r="K21" i="3"/>
  <c r="K73" i="3"/>
  <c r="K168" i="3"/>
  <c r="K152" i="3"/>
  <c r="K136" i="3"/>
  <c r="M4" i="3"/>
  <c r="L4" i="3"/>
  <c r="M8" i="3"/>
  <c r="L8" i="3"/>
  <c r="J8" i="3"/>
  <c r="L12" i="3"/>
  <c r="K12" i="3"/>
  <c r="M12" i="3"/>
  <c r="J12" i="3"/>
  <c r="L16" i="3"/>
  <c r="K16" i="3"/>
  <c r="J16" i="3"/>
  <c r="M16" i="3"/>
  <c r="L20" i="3"/>
  <c r="K20" i="3"/>
  <c r="M20" i="3"/>
  <c r="J20" i="3"/>
  <c r="L24" i="3"/>
  <c r="K24" i="3"/>
  <c r="M24" i="3"/>
  <c r="J24" i="3"/>
  <c r="L28" i="3"/>
  <c r="M28" i="3"/>
  <c r="J28" i="3"/>
  <c r="L32" i="3"/>
  <c r="M32" i="3"/>
  <c r="J32" i="3"/>
  <c r="L36" i="3"/>
  <c r="M36" i="3"/>
  <c r="K36" i="3"/>
  <c r="J36" i="3"/>
  <c r="L40" i="3"/>
  <c r="M40" i="3"/>
  <c r="K40" i="3"/>
  <c r="J40" i="3"/>
  <c r="L44" i="3"/>
  <c r="K44" i="3"/>
  <c r="M44" i="3"/>
  <c r="J44" i="3"/>
  <c r="L48" i="3"/>
  <c r="M48" i="3"/>
  <c r="J48" i="3"/>
  <c r="L52" i="3"/>
  <c r="M52" i="3"/>
  <c r="J52" i="3"/>
  <c r="L56" i="3"/>
  <c r="K56" i="3"/>
  <c r="M56" i="3"/>
  <c r="J56" i="3"/>
  <c r="L60" i="3"/>
  <c r="M60" i="3"/>
  <c r="K60" i="3"/>
  <c r="J60" i="3"/>
  <c r="L64" i="3"/>
  <c r="M64" i="3"/>
  <c r="K64" i="3"/>
  <c r="J64" i="3"/>
  <c r="L68" i="3"/>
  <c r="M68" i="3"/>
  <c r="J68" i="3"/>
  <c r="L72" i="3"/>
  <c r="K72" i="3"/>
  <c r="M72" i="3"/>
  <c r="J72" i="3"/>
  <c r="L76" i="3"/>
  <c r="K76" i="3"/>
  <c r="M76" i="3"/>
  <c r="J76" i="3"/>
  <c r="L80" i="3"/>
  <c r="K80" i="3"/>
  <c r="M80" i="3"/>
  <c r="J80" i="3"/>
  <c r="L84" i="3"/>
  <c r="K84" i="3"/>
  <c r="M84" i="3"/>
  <c r="J84" i="3"/>
  <c r="L88" i="3"/>
  <c r="K88" i="3"/>
  <c r="M88" i="3"/>
  <c r="J88" i="3"/>
  <c r="L92" i="3"/>
  <c r="K92" i="3"/>
  <c r="M92" i="3"/>
  <c r="J92" i="3"/>
  <c r="L96" i="3"/>
  <c r="K96" i="3"/>
  <c r="M96" i="3"/>
  <c r="J96" i="3"/>
  <c r="L103" i="3"/>
  <c r="K103" i="3"/>
  <c r="M103" i="3"/>
  <c r="L107" i="3"/>
  <c r="K107" i="3"/>
  <c r="M107" i="3"/>
  <c r="L111" i="3"/>
  <c r="K111" i="3"/>
  <c r="M111" i="3"/>
  <c r="L115" i="3"/>
  <c r="K115" i="3"/>
  <c r="M115" i="3"/>
  <c r="L119" i="3"/>
  <c r="K119" i="3"/>
  <c r="M119" i="3"/>
  <c r="L123" i="3"/>
  <c r="K123" i="3"/>
  <c r="M123" i="3"/>
  <c r="L127" i="3"/>
  <c r="K127" i="3"/>
  <c r="M127" i="3"/>
  <c r="L131" i="3"/>
  <c r="K131" i="3"/>
  <c r="M131" i="3"/>
  <c r="L135" i="3"/>
  <c r="K135" i="3"/>
  <c r="M135" i="3"/>
  <c r="L139" i="3"/>
  <c r="K139" i="3"/>
  <c r="M139" i="3"/>
  <c r="L143" i="3"/>
  <c r="K143" i="3"/>
  <c r="M143" i="3"/>
  <c r="L147" i="3"/>
  <c r="K147" i="3"/>
  <c r="M147" i="3"/>
  <c r="L151" i="3"/>
  <c r="K151" i="3"/>
  <c r="M151" i="3"/>
  <c r="L155" i="3"/>
  <c r="K155" i="3"/>
  <c r="M155" i="3"/>
  <c r="L159" i="3"/>
  <c r="K159" i="3"/>
  <c r="M159" i="3"/>
  <c r="L163" i="3"/>
  <c r="K163" i="3"/>
  <c r="M163" i="3"/>
  <c r="L167" i="3"/>
  <c r="K167" i="3"/>
  <c r="M167" i="3"/>
  <c r="L171" i="3"/>
  <c r="K171" i="3"/>
  <c r="M171" i="3"/>
  <c r="L175" i="3"/>
  <c r="K175" i="3"/>
  <c r="M175" i="3"/>
  <c r="L180" i="3"/>
  <c r="M180" i="3"/>
  <c r="J180" i="3"/>
  <c r="L184" i="3"/>
  <c r="M184" i="3"/>
  <c r="J184" i="3"/>
  <c r="L188" i="3"/>
  <c r="M188" i="3"/>
  <c r="J188" i="3"/>
  <c r="I188" i="3"/>
  <c r="L192" i="3"/>
  <c r="I192" i="3"/>
  <c r="M192" i="3"/>
  <c r="J192" i="3"/>
  <c r="L196" i="3"/>
  <c r="M196" i="3"/>
  <c r="J196" i="3"/>
  <c r="L200" i="3"/>
  <c r="M200" i="3"/>
  <c r="J200" i="3"/>
  <c r="L204" i="3"/>
  <c r="M204" i="3"/>
  <c r="I204" i="3"/>
  <c r="J204" i="3"/>
  <c r="L208" i="3"/>
  <c r="I208" i="3"/>
  <c r="M208" i="3"/>
  <c r="J208" i="3"/>
  <c r="L212" i="3"/>
  <c r="M212" i="3"/>
  <c r="J212" i="3"/>
  <c r="I212" i="3"/>
  <c r="L216" i="3"/>
  <c r="M216" i="3"/>
  <c r="J216" i="3"/>
  <c r="I216" i="3"/>
  <c r="L220" i="3"/>
  <c r="M220" i="3"/>
  <c r="I220" i="3"/>
  <c r="J220" i="3"/>
  <c r="L224" i="3"/>
  <c r="I224" i="3"/>
  <c r="M224" i="3"/>
  <c r="J224" i="3"/>
  <c r="L228" i="3"/>
  <c r="M228" i="3"/>
  <c r="J228" i="3"/>
  <c r="I228" i="3"/>
  <c r="L232" i="3"/>
  <c r="M232" i="3"/>
  <c r="J232" i="3"/>
  <c r="I232" i="3"/>
  <c r="L236" i="3"/>
  <c r="I236" i="3"/>
  <c r="M236" i="3"/>
  <c r="J236" i="3"/>
  <c r="L240" i="3"/>
  <c r="M240" i="3"/>
  <c r="J240" i="3"/>
  <c r="I240" i="3"/>
  <c r="M102" i="3"/>
  <c r="J102" i="3"/>
  <c r="L102" i="3"/>
  <c r="K102" i="3"/>
  <c r="I4" i="3"/>
  <c r="I8" i="3"/>
  <c r="I12" i="3"/>
  <c r="I16" i="3"/>
  <c r="I21" i="3"/>
  <c r="I24" i="3"/>
  <c r="I28" i="3"/>
  <c r="I29" i="3"/>
  <c r="I40" i="3"/>
  <c r="I60" i="3"/>
  <c r="I56" i="3"/>
  <c r="I52" i="3"/>
  <c r="I48" i="3"/>
  <c r="I44" i="3"/>
  <c r="I64" i="3"/>
  <c r="I65" i="3"/>
  <c r="I76" i="3"/>
  <c r="I72" i="3"/>
  <c r="I84" i="3"/>
  <c r="I88" i="3"/>
  <c r="I92" i="3"/>
  <c r="I102" i="3"/>
  <c r="I116" i="3"/>
  <c r="I112" i="3"/>
  <c r="I120" i="3"/>
  <c r="I124" i="3"/>
  <c r="I140" i="3"/>
  <c r="I156" i="3"/>
  <c r="I167" i="3"/>
  <c r="I163" i="3"/>
  <c r="I172" i="3"/>
  <c r="I168" i="3"/>
  <c r="I176" i="3"/>
  <c r="I209" i="3"/>
  <c r="I225" i="3"/>
  <c r="I242" i="3"/>
  <c r="J171" i="3"/>
  <c r="J155" i="3"/>
  <c r="J139" i="3"/>
  <c r="J123" i="3"/>
  <c r="J107" i="3"/>
  <c r="K25" i="3"/>
  <c r="K52" i="3"/>
  <c r="K68" i="3"/>
  <c r="K236" i="3"/>
  <c r="K220" i="3"/>
  <c r="K204" i="3"/>
  <c r="K188" i="3"/>
  <c r="K172" i="3"/>
  <c r="K156" i="3"/>
  <c r="K140" i="3"/>
  <c r="I3" i="3"/>
  <c r="M3" i="3"/>
  <c r="L3" i="3"/>
  <c r="K7" i="3"/>
  <c r="M7" i="3"/>
  <c r="L7" i="3"/>
  <c r="J7" i="3"/>
  <c r="M11" i="3"/>
  <c r="K11" i="3"/>
  <c r="L11" i="3"/>
  <c r="M15" i="3"/>
  <c r="L15" i="3"/>
  <c r="K15" i="3"/>
  <c r="L19" i="3"/>
  <c r="J19" i="3"/>
  <c r="K19" i="3"/>
  <c r="M19" i="3"/>
  <c r="L23" i="3"/>
  <c r="K23" i="3"/>
  <c r="M23" i="3"/>
  <c r="L27" i="3"/>
  <c r="K27" i="3"/>
  <c r="J27" i="3"/>
  <c r="M27" i="3"/>
  <c r="L31" i="3"/>
  <c r="K31" i="3"/>
  <c r="M31" i="3"/>
  <c r="L35" i="3"/>
  <c r="M35" i="3"/>
  <c r="K35" i="3"/>
  <c r="L39" i="3"/>
  <c r="M39" i="3"/>
  <c r="K39" i="3"/>
  <c r="L43" i="3"/>
  <c r="K43" i="3"/>
  <c r="M43" i="3"/>
  <c r="L47" i="3"/>
  <c r="K47" i="3"/>
  <c r="M47" i="3"/>
  <c r="L51" i="3"/>
  <c r="K51" i="3"/>
  <c r="M51" i="3"/>
  <c r="L55" i="3"/>
  <c r="K55" i="3"/>
  <c r="M55" i="3"/>
  <c r="L59" i="3"/>
  <c r="M59" i="3"/>
  <c r="K59" i="3"/>
  <c r="L63" i="3"/>
  <c r="M63" i="3"/>
  <c r="K63" i="3"/>
  <c r="L67" i="3"/>
  <c r="K67" i="3"/>
  <c r="M67" i="3"/>
  <c r="L71" i="3"/>
  <c r="K71" i="3"/>
  <c r="M71" i="3"/>
  <c r="L75" i="3"/>
  <c r="K75" i="3"/>
  <c r="M75" i="3"/>
  <c r="L79" i="3"/>
  <c r="K79" i="3"/>
  <c r="M79" i="3"/>
  <c r="L83" i="3"/>
  <c r="K83" i="3"/>
  <c r="M83" i="3"/>
  <c r="L87" i="3"/>
  <c r="K87" i="3"/>
  <c r="M87" i="3"/>
  <c r="L91" i="3"/>
  <c r="K91" i="3"/>
  <c r="M91" i="3"/>
  <c r="L95" i="3"/>
  <c r="K95" i="3"/>
  <c r="M95" i="3"/>
  <c r="L99" i="3"/>
  <c r="K99" i="3"/>
  <c r="M99" i="3"/>
  <c r="M106" i="3"/>
  <c r="J106" i="3"/>
  <c r="L106" i="3"/>
  <c r="K106" i="3"/>
  <c r="M110" i="3"/>
  <c r="J110" i="3"/>
  <c r="L110" i="3"/>
  <c r="K110" i="3"/>
  <c r="M114" i="3"/>
  <c r="J114" i="3"/>
  <c r="L114" i="3"/>
  <c r="K114" i="3"/>
  <c r="M118" i="3"/>
  <c r="J118" i="3"/>
  <c r="L118" i="3"/>
  <c r="K118" i="3"/>
  <c r="M122" i="3"/>
  <c r="J122" i="3"/>
  <c r="L122" i="3"/>
  <c r="K122" i="3"/>
  <c r="M126" i="3"/>
  <c r="J126" i="3"/>
  <c r="L126" i="3"/>
  <c r="K126" i="3"/>
  <c r="M130" i="3"/>
  <c r="J130" i="3"/>
  <c r="L130" i="3"/>
  <c r="K130" i="3"/>
  <c r="M134" i="3"/>
  <c r="J134" i="3"/>
  <c r="L134" i="3"/>
  <c r="K134" i="3"/>
  <c r="M138" i="3"/>
  <c r="J138" i="3"/>
  <c r="L138" i="3"/>
  <c r="K138" i="3"/>
  <c r="M142" i="3"/>
  <c r="J142" i="3"/>
  <c r="L142" i="3"/>
  <c r="K142" i="3"/>
  <c r="M146" i="3"/>
  <c r="J146" i="3"/>
  <c r="L146" i="3"/>
  <c r="K146" i="3"/>
  <c r="M150" i="3"/>
  <c r="J150" i="3"/>
  <c r="L150" i="3"/>
  <c r="K150" i="3"/>
  <c r="M154" i="3"/>
  <c r="J154" i="3"/>
  <c r="L154" i="3"/>
  <c r="K154" i="3"/>
  <c r="M158" i="3"/>
  <c r="J158" i="3"/>
  <c r="L158" i="3"/>
  <c r="K158" i="3"/>
  <c r="M162" i="3"/>
  <c r="J162" i="3"/>
  <c r="L162" i="3"/>
  <c r="K162" i="3"/>
  <c r="M166" i="3"/>
  <c r="J166" i="3"/>
  <c r="L166" i="3"/>
  <c r="K166" i="3"/>
  <c r="M170" i="3"/>
  <c r="J170" i="3"/>
  <c r="L170" i="3"/>
  <c r="K170" i="3"/>
  <c r="M174" i="3"/>
  <c r="J174" i="3"/>
  <c r="I174" i="3"/>
  <c r="L174" i="3"/>
  <c r="K174" i="3"/>
  <c r="M178" i="3"/>
  <c r="J178" i="3"/>
  <c r="L178" i="3"/>
  <c r="K178" i="3"/>
  <c r="L183" i="3"/>
  <c r="K183" i="3"/>
  <c r="I183" i="3"/>
  <c r="M183" i="3"/>
  <c r="L187" i="3"/>
  <c r="K187" i="3"/>
  <c r="I187" i="3"/>
  <c r="M187" i="3"/>
  <c r="L191" i="3"/>
  <c r="K191" i="3"/>
  <c r="M191" i="3"/>
  <c r="L195" i="3"/>
  <c r="K195" i="3"/>
  <c r="I195" i="3"/>
  <c r="M195" i="3"/>
  <c r="L199" i="3"/>
  <c r="K199" i="3"/>
  <c r="I199" i="3"/>
  <c r="M199" i="3"/>
  <c r="L203" i="3"/>
  <c r="K203" i="3"/>
  <c r="M203" i="3"/>
  <c r="L207" i="3"/>
  <c r="K207" i="3"/>
  <c r="M207" i="3"/>
  <c r="I207" i="3"/>
  <c r="L211" i="3"/>
  <c r="K211" i="3"/>
  <c r="M211" i="3"/>
  <c r="L215" i="3"/>
  <c r="K215" i="3"/>
  <c r="M215" i="3"/>
  <c r="L219" i="3"/>
  <c r="K219" i="3"/>
  <c r="I219" i="3"/>
  <c r="M219" i="3"/>
  <c r="L223" i="3"/>
  <c r="K223" i="3"/>
  <c r="M223" i="3"/>
  <c r="I223" i="3"/>
  <c r="L227" i="3"/>
  <c r="K227" i="3"/>
  <c r="M227" i="3"/>
  <c r="L231" i="3"/>
  <c r="K231" i="3"/>
  <c r="I231" i="3"/>
  <c r="M231" i="3"/>
  <c r="L235" i="3"/>
  <c r="K235" i="3"/>
  <c r="M235" i="3"/>
  <c r="L239" i="3"/>
  <c r="K239" i="3"/>
  <c r="I239" i="3"/>
  <c r="M239" i="3"/>
  <c r="L100" i="3"/>
  <c r="K100" i="3"/>
  <c r="M100" i="3"/>
  <c r="J100" i="3"/>
  <c r="I7" i="3"/>
  <c r="I11" i="3"/>
  <c r="I13" i="3"/>
  <c r="I25" i="3"/>
  <c r="I35" i="3"/>
  <c r="I36" i="3"/>
  <c r="I41" i="3"/>
  <c r="I57" i="3"/>
  <c r="I53" i="3"/>
  <c r="I49" i="3"/>
  <c r="I45" i="3"/>
  <c r="I61" i="3"/>
  <c r="I71" i="3"/>
  <c r="I73" i="3"/>
  <c r="I79" i="3"/>
  <c r="I89" i="3"/>
  <c r="I85" i="3"/>
  <c r="I95" i="3"/>
  <c r="I103" i="3"/>
  <c r="I99" i="3"/>
  <c r="I106" i="3"/>
  <c r="I127" i="3"/>
  <c r="I130" i="3"/>
  <c r="I139" i="3"/>
  <c r="I135" i="3"/>
  <c r="I143" i="3"/>
  <c r="I146" i="3"/>
  <c r="I155" i="3"/>
  <c r="I151" i="3"/>
  <c r="I164" i="3"/>
  <c r="I160" i="3"/>
  <c r="I184" i="3"/>
  <c r="I193" i="3"/>
  <c r="I200" i="3"/>
  <c r="I237" i="3"/>
  <c r="J11" i="3"/>
  <c r="J239" i="3"/>
  <c r="J223" i="3"/>
  <c r="J207" i="3"/>
  <c r="J191" i="3"/>
  <c r="J175" i="3"/>
  <c r="J159" i="3"/>
  <c r="J143" i="3"/>
  <c r="J127" i="3"/>
  <c r="J111" i="3"/>
  <c r="J95" i="3"/>
  <c r="J79" i="3"/>
  <c r="J63" i="3"/>
  <c r="J47" i="3"/>
  <c r="J31" i="3"/>
  <c r="K28" i="3"/>
  <c r="K45" i="3"/>
  <c r="K240" i="3"/>
  <c r="K224" i="3"/>
  <c r="K208" i="3"/>
  <c r="K192" i="3"/>
  <c r="K176" i="3"/>
  <c r="K160" i="3"/>
  <c r="K144" i="3"/>
  <c r="K6" i="3"/>
  <c r="J6" i="3"/>
  <c r="M6" i="3"/>
  <c r="L6" i="3"/>
  <c r="M10" i="3"/>
  <c r="J10" i="3"/>
  <c r="K10" i="3"/>
  <c r="L10" i="3"/>
  <c r="M14" i="3"/>
  <c r="J14" i="3"/>
  <c r="L14" i="3"/>
  <c r="L18" i="3"/>
  <c r="M18" i="3"/>
  <c r="K18" i="3"/>
  <c r="M22" i="3"/>
  <c r="L22" i="3"/>
  <c r="K22" i="3"/>
  <c r="M26" i="3"/>
  <c r="J26" i="3"/>
  <c r="L26" i="3"/>
  <c r="K26" i="3"/>
  <c r="M30" i="3"/>
  <c r="J30" i="3"/>
  <c r="L30" i="3"/>
  <c r="K30" i="3"/>
  <c r="M34" i="3"/>
  <c r="J34" i="3"/>
  <c r="L34" i="3"/>
  <c r="M38" i="3"/>
  <c r="J38" i="3"/>
  <c r="L38" i="3"/>
  <c r="M42" i="3"/>
  <c r="J42" i="3"/>
  <c r="L42" i="3"/>
  <c r="K42" i="3"/>
  <c r="M46" i="3"/>
  <c r="J46" i="3"/>
  <c r="L46" i="3"/>
  <c r="K46" i="3"/>
  <c r="M50" i="3"/>
  <c r="J50" i="3"/>
  <c r="L50" i="3"/>
  <c r="K50" i="3"/>
  <c r="M54" i="3"/>
  <c r="J54" i="3"/>
  <c r="L54" i="3"/>
  <c r="K54" i="3"/>
  <c r="M58" i="3"/>
  <c r="J58" i="3"/>
  <c r="L58" i="3"/>
  <c r="M62" i="3"/>
  <c r="J62" i="3"/>
  <c r="L62" i="3"/>
  <c r="M66" i="3"/>
  <c r="J66" i="3"/>
  <c r="L66" i="3"/>
  <c r="K66" i="3"/>
  <c r="M70" i="3"/>
  <c r="J70" i="3"/>
  <c r="L70" i="3"/>
  <c r="K70" i="3"/>
  <c r="M74" i="3"/>
  <c r="J74" i="3"/>
  <c r="L74" i="3"/>
  <c r="K74" i="3"/>
  <c r="M78" i="3"/>
  <c r="J78" i="3"/>
  <c r="L78" i="3"/>
  <c r="K78" i="3"/>
  <c r="M82" i="3"/>
  <c r="J82" i="3"/>
  <c r="L82" i="3"/>
  <c r="K82" i="3"/>
  <c r="M86" i="3"/>
  <c r="J86" i="3"/>
  <c r="L86" i="3"/>
  <c r="K86" i="3"/>
  <c r="M90" i="3"/>
  <c r="J90" i="3"/>
  <c r="L90" i="3"/>
  <c r="K90" i="3"/>
  <c r="M94" i="3"/>
  <c r="J94" i="3"/>
  <c r="L94" i="3"/>
  <c r="K94" i="3"/>
  <c r="M98" i="3"/>
  <c r="J98" i="3"/>
  <c r="L98" i="3"/>
  <c r="K98" i="3"/>
  <c r="M105" i="3"/>
  <c r="J105" i="3"/>
  <c r="L105" i="3"/>
  <c r="K105" i="3"/>
  <c r="M109" i="3"/>
  <c r="J109" i="3"/>
  <c r="L109" i="3"/>
  <c r="K109" i="3"/>
  <c r="M113" i="3"/>
  <c r="J113" i="3"/>
  <c r="L113" i="3"/>
  <c r="K113" i="3"/>
  <c r="M117" i="3"/>
  <c r="J117" i="3"/>
  <c r="L117" i="3"/>
  <c r="K117" i="3"/>
  <c r="M121" i="3"/>
  <c r="J121" i="3"/>
  <c r="L121" i="3"/>
  <c r="K121" i="3"/>
  <c r="M125" i="3"/>
  <c r="J125" i="3"/>
  <c r="L125" i="3"/>
  <c r="K125" i="3"/>
  <c r="M129" i="3"/>
  <c r="J129" i="3"/>
  <c r="L129" i="3"/>
  <c r="K129" i="3"/>
  <c r="M133" i="3"/>
  <c r="J133" i="3"/>
  <c r="L133" i="3"/>
  <c r="K133" i="3"/>
  <c r="M137" i="3"/>
  <c r="J137" i="3"/>
  <c r="L137" i="3"/>
  <c r="K137" i="3"/>
  <c r="M141" i="3"/>
  <c r="J141" i="3"/>
  <c r="L141" i="3"/>
  <c r="K141" i="3"/>
  <c r="M145" i="3"/>
  <c r="J145" i="3"/>
  <c r="L145" i="3"/>
  <c r="K145" i="3"/>
  <c r="M149" i="3"/>
  <c r="J149" i="3"/>
  <c r="L149" i="3"/>
  <c r="K149" i="3"/>
  <c r="M153" i="3"/>
  <c r="J153" i="3"/>
  <c r="L153" i="3"/>
  <c r="K153" i="3"/>
  <c r="M157" i="3"/>
  <c r="J157" i="3"/>
  <c r="L157" i="3"/>
  <c r="K157" i="3"/>
  <c r="M161" i="3"/>
  <c r="J161" i="3"/>
  <c r="L161" i="3"/>
  <c r="K161" i="3"/>
  <c r="M165" i="3"/>
  <c r="J165" i="3"/>
  <c r="L165" i="3"/>
  <c r="K165" i="3"/>
  <c r="M169" i="3"/>
  <c r="J169" i="3"/>
  <c r="L169" i="3"/>
  <c r="K169" i="3"/>
  <c r="M173" i="3"/>
  <c r="J173" i="3"/>
  <c r="L173" i="3"/>
  <c r="K173" i="3"/>
  <c r="M177" i="3"/>
  <c r="J177" i="3"/>
  <c r="L177" i="3"/>
  <c r="K177" i="3"/>
  <c r="M182" i="3"/>
  <c r="J182" i="3"/>
  <c r="L182" i="3"/>
  <c r="K182" i="3"/>
  <c r="M186" i="3"/>
  <c r="J186" i="3"/>
  <c r="L186" i="3"/>
  <c r="K186" i="3"/>
  <c r="M190" i="3"/>
  <c r="J190" i="3"/>
  <c r="L190" i="3"/>
  <c r="K190" i="3"/>
  <c r="I190" i="3"/>
  <c r="M194" i="3"/>
  <c r="J194" i="3"/>
  <c r="I194" i="3"/>
  <c r="L194" i="3"/>
  <c r="K194" i="3"/>
  <c r="M198" i="3"/>
  <c r="J198" i="3"/>
  <c r="L198" i="3"/>
  <c r="K198" i="3"/>
  <c r="M202" i="3"/>
  <c r="J202" i="3"/>
  <c r="L202" i="3"/>
  <c r="K202" i="3"/>
  <c r="M206" i="3"/>
  <c r="J206" i="3"/>
  <c r="L206" i="3"/>
  <c r="K206" i="3"/>
  <c r="M210" i="3"/>
  <c r="J210" i="3"/>
  <c r="L210" i="3"/>
  <c r="K210" i="3"/>
  <c r="I210" i="3"/>
  <c r="M214" i="3"/>
  <c r="J214" i="3"/>
  <c r="I214" i="3"/>
  <c r="L214" i="3"/>
  <c r="K214" i="3"/>
  <c r="M218" i="3"/>
  <c r="J218" i="3"/>
  <c r="L218" i="3"/>
  <c r="K218" i="3"/>
  <c r="I218" i="3"/>
  <c r="M222" i="3"/>
  <c r="J222" i="3"/>
  <c r="L222" i="3"/>
  <c r="K222" i="3"/>
  <c r="M226" i="3"/>
  <c r="J226" i="3"/>
  <c r="L226" i="3"/>
  <c r="K226" i="3"/>
  <c r="I226" i="3"/>
  <c r="M230" i="3"/>
  <c r="J230" i="3"/>
  <c r="L230" i="3"/>
  <c r="K230" i="3"/>
  <c r="I230" i="3"/>
  <c r="M234" i="3"/>
  <c r="J234" i="3"/>
  <c r="I234" i="3"/>
  <c r="L234" i="3"/>
  <c r="K234" i="3"/>
  <c r="M238" i="3"/>
  <c r="J238" i="3"/>
  <c r="L238" i="3"/>
  <c r="K238" i="3"/>
  <c r="I238" i="3"/>
  <c r="M242" i="3"/>
  <c r="K242" i="3"/>
  <c r="L242" i="3"/>
  <c r="L179" i="3"/>
  <c r="K179" i="3"/>
  <c r="M179" i="3"/>
  <c r="I5" i="3"/>
  <c r="I9" i="3"/>
  <c r="I14" i="3"/>
  <c r="I18" i="3"/>
  <c r="I19" i="3"/>
  <c r="I27" i="3"/>
  <c r="I31" i="3"/>
  <c r="I33" i="3"/>
  <c r="I37" i="3"/>
  <c r="I42" i="3"/>
  <c r="I58" i="3"/>
  <c r="I54" i="3"/>
  <c r="I50" i="3"/>
  <c r="I46" i="3"/>
  <c r="I62" i="3"/>
  <c r="I67" i="3"/>
  <c r="I69" i="3"/>
  <c r="I74" i="3"/>
  <c r="I80" i="3"/>
  <c r="I83" i="3"/>
  <c r="I90" i="3"/>
  <c r="I86" i="3"/>
  <c r="I96" i="3"/>
  <c r="I104" i="3"/>
  <c r="I100" i="3"/>
  <c r="I107" i="3"/>
  <c r="I110" i="3"/>
  <c r="I114" i="3"/>
  <c r="I122" i="3"/>
  <c r="I118" i="3"/>
  <c r="I128" i="3"/>
  <c r="I131" i="3"/>
  <c r="I132" i="3"/>
  <c r="I136" i="3"/>
  <c r="I144" i="3"/>
  <c r="I147" i="3"/>
  <c r="I150" i="3"/>
  <c r="I152" i="3"/>
  <c r="I158" i="3"/>
  <c r="I165" i="3"/>
  <c r="I161" i="3"/>
  <c r="I170" i="3"/>
  <c r="I178" i="3"/>
  <c r="I179" i="3"/>
  <c r="I186" i="3"/>
  <c r="I202" i="3"/>
  <c r="I203" i="3"/>
  <c r="I215" i="3"/>
  <c r="I235" i="3"/>
  <c r="J15" i="3"/>
  <c r="J23" i="3"/>
  <c r="J227" i="3"/>
  <c r="J211" i="3"/>
  <c r="J195" i="3"/>
  <c r="J179" i="3"/>
  <c r="J163" i="3"/>
  <c r="J147" i="3"/>
  <c r="J131" i="3"/>
  <c r="J115" i="3"/>
  <c r="J99" i="3"/>
  <c r="J83" i="3"/>
  <c r="J67" i="3"/>
  <c r="J51" i="3"/>
  <c r="J35" i="3"/>
  <c r="K4" i="3"/>
  <c r="K32" i="3"/>
  <c r="K41" i="3"/>
  <c r="K62" i="3"/>
  <c r="K69" i="3"/>
  <c r="K228" i="3"/>
  <c r="K212" i="3"/>
  <c r="K196" i="3"/>
  <c r="K180" i="3"/>
  <c r="K164" i="3"/>
  <c r="K148" i="3"/>
  <c r="K3" i="3"/>
  <c r="J3" i="3"/>
  <c r="P8" i="3" l="1"/>
  <c r="T55" i="3" s="1"/>
  <c r="P6" i="3"/>
  <c r="P5" i="3"/>
  <c r="P35" i="3" s="1"/>
  <c r="T4" i="3"/>
  <c r="T9" i="3"/>
  <c r="P9" i="3"/>
  <c r="P54" i="3" s="1"/>
  <c r="T7" i="3"/>
  <c r="P7" i="3"/>
  <c r="T6" i="3"/>
  <c r="P34" i="3" s="1"/>
  <c r="T8" i="3"/>
  <c r="P49" i="3" s="1"/>
  <c r="T5" i="3"/>
  <c r="P4" i="3"/>
  <c r="P53" i="3" s="1"/>
  <c r="P27" i="3"/>
  <c r="T42" i="3" s="1"/>
  <c r="P17" i="3"/>
  <c r="P18" i="3"/>
  <c r="T18" i="3"/>
  <c r="P25" i="3"/>
  <c r="T17" i="3"/>
  <c r="T51" i="3" s="1"/>
  <c r="P16" i="3"/>
  <c r="T16" i="3"/>
  <c r="P15" i="3"/>
  <c r="P14" i="3"/>
  <c r="P48" i="3" s="1"/>
  <c r="P22" i="3"/>
  <c r="T43" i="3" s="1"/>
  <c r="T14" i="3"/>
  <c r="P13" i="3"/>
  <c r="T19" i="3"/>
  <c r="P26" i="3"/>
  <c r="T50" i="3" s="1"/>
  <c r="P24" i="3"/>
  <c r="P55" i="3" s="1"/>
  <c r="P23" i="3"/>
  <c r="T49" i="3" s="1"/>
  <c r="T15" i="3"/>
  <c r="P47" i="3" l="1"/>
  <c r="T56" i="3"/>
  <c r="P36" i="3"/>
  <c r="T57" i="3"/>
  <c r="T36" i="3"/>
  <c r="P43" i="3"/>
  <c r="T35" i="3"/>
  <c r="P44" i="3"/>
  <c r="P42" i="3"/>
  <c r="T34" i="3"/>
  <c r="T44" i="3"/>
  <c r="P28" i="3"/>
  <c r="T20" i="3"/>
  <c r="T10" i="3"/>
  <c r="P19" i="3"/>
  <c r="P1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D358" authorId="0" shapeId="0" xr:uid="{09FB1927-6DBF-4931-92F8-D0F7AB9083B0}">
      <text>
        <r>
          <rPr>
            <b/>
            <sz val="9"/>
            <color indexed="81"/>
            <rFont val="Tahoma"/>
            <family val="2"/>
          </rPr>
          <t>Auteur:</t>
        </r>
        <r>
          <rPr>
            <sz val="9"/>
            <color indexed="81"/>
            <rFont val="Tahoma"/>
            <family val="2"/>
          </rPr>
          <t xml:space="preserve">
l'interaction entre le trait ouverture et le trait agréabilité renseigne sur les inclinations de la personne sur le plan des valeurs sociales. Une mise en garde s'impose toutefois la personnalité joue un role distal dans les valeurs sociales d'une personne, qui sont influencées par plusieurs qutres facteurs importants. nous invitons donc à une trés grande preudence face aux hypothéses interprétatives présentées ci -dessous </t>
        </r>
      </text>
    </comment>
    <comment ref="D644" authorId="0" shapeId="0" xr:uid="{4DB25BEC-EA42-451D-A4BC-B430053A0013}">
      <text>
        <r>
          <rPr>
            <b/>
            <sz val="9"/>
            <color indexed="81"/>
            <rFont val="Tahoma"/>
            <family val="2"/>
          </rPr>
          <t>Auteur:</t>
        </r>
        <r>
          <rPr>
            <sz val="9"/>
            <color indexed="81"/>
            <rFont val="Tahoma"/>
            <family val="2"/>
          </rPr>
          <t xml:space="preserve">
La confiance en soi est un élément crucial pour réussir dans de nombreux aspects de la vie, que ce soit professionnellement, socialement ou personnellement. Lorsqu'une personne a une forte confiance en soi, elle est plus en mesure de prendre des décisions assertives, de relever des défis et d'atteindre ses objectifs. Elle est également plus résiliente face aux échecs et aux critiques.
En revanche, la fragilité peut entraver la confiance en soi d'une personne. Les personnes fragiles ont tendance à être plus sensibles aux jugements des autres, à douter de leurs capacités et à se sentir dépassées par les obstacles. Cela peut souvent les empêcher de saisir des opportunités et de réaliser leur plein potentiel.
Il est donc essentiel de promouvoir la confiance en soi chez les individus afin qu'ils puissent s'épanouir et réussir dans leur vie. Cela peut passer par des actions telles que l'encouragement, la reconnaissance des réussites, le renforcement des compétences et la gestion des émotions négatives.
En conclusion, il est important de renforcer la confiance en soi chez les individus pour les aider à surmonter leur fragilité et à réussir dans leur vie. Cela peut se traduire par des avantages tant sur le plan personnel que professionnel, en leur permettant de s'épanouir, de prendre des risques et d'atteindre leurs objectifs.</t>
        </r>
      </text>
    </comment>
  </commentList>
</comments>
</file>

<file path=xl/sharedStrings.xml><?xml version="1.0" encoding="utf-8"?>
<sst xmlns="http://schemas.openxmlformats.org/spreadsheetml/2006/main" count="928" uniqueCount="689">
  <si>
    <t>NOE PI-R inventaire de personnalité-Révisé</t>
  </si>
  <si>
    <t>Nom-Prénom</t>
  </si>
  <si>
    <t>Sexe</t>
  </si>
  <si>
    <t>Date</t>
  </si>
  <si>
    <t>Numéro</t>
  </si>
  <si>
    <t>F                 M</t>
  </si>
  <si>
    <t>Profession :</t>
  </si>
  <si>
    <t>niveau d'étude:</t>
  </si>
  <si>
    <t>FD= Fortement  en désaccord</t>
  </si>
  <si>
    <t>A=Accord</t>
  </si>
  <si>
    <t>Question</t>
  </si>
  <si>
    <t>Je ne suis pas du genre à me faire du souci</t>
  </si>
  <si>
    <t>J’ai tendance à être cynique et sceptique en ce qui concerne les intentions des autres</t>
  </si>
  <si>
    <t>Je suis réputé(e) pour ma prudence et mon bon sens</t>
  </si>
  <si>
    <t>Je me mets souvent en colère à cause de la manière dont les gens me traitent</t>
  </si>
  <si>
    <t>J’essaie d’éviter les foules.</t>
  </si>
  <si>
    <t xml:space="preserve"> Je ne suis ni rusé(e) ni sournois ( e )</t>
  </si>
  <si>
    <t>Je préfère me garder des possibilités de choix plutôt que tout planifier à l’avance</t>
  </si>
  <si>
    <t>Il est rare que je me sente trop seul(e) et cafardeux (se)</t>
  </si>
  <si>
    <t>Je suis autoritaire, énergique et je n’hésite pas à m’affirmer</t>
  </si>
  <si>
    <t>Sans émotions fortes, la vie serait sans intérêt pour moi</t>
  </si>
  <si>
    <t>Certains trouvent que je suis égoïste et que je ne pense qu’à moi</t>
  </si>
  <si>
    <t>J’essaie d’accomplir consciencieusement toutes les taches qui me sont confiées</t>
  </si>
  <si>
    <t>Quand j’ai affaire à d’autres personnes, je redoute toujours de faire une gaffe</t>
  </si>
  <si>
    <t>Dans le travail et dans les loisirs, je prends tout mon temps</t>
  </si>
  <si>
    <t>Je  suis bien installé( e ) dans mes habitudes</t>
  </si>
  <si>
    <t>Je suis nonchalant (e ) et pas très ambitieux (se)</t>
  </si>
  <si>
    <t>Je fais rarement des excès en quoi que ce soit</t>
  </si>
  <si>
    <t>J’ai souvent une forte envie de quelque chose qui romprait la monotonie</t>
  </si>
  <si>
    <t>Je prends souvent plaisir à jouer avec des théories ou des idées abstraites</t>
  </si>
  <si>
    <t>Cela ne me gêne pas de me vanter de mes talents et de ce que j’ai réalisé</t>
  </si>
  <si>
    <t>J’arrive assez bien à m’organiser pour faire les choses à temps</t>
  </si>
  <si>
    <t>Je n’ai jamais sauté de joie au sens littéral du terme.</t>
  </si>
  <si>
    <t>Au fil des années, j’ai fait un certain nombre de choses plutôt stupides</t>
  </si>
  <si>
    <t>Il est facile de me faire peur.</t>
  </si>
  <si>
    <t>Je n’ai pas beaucoup de plaisir à bavarder avec les gens</t>
  </si>
  <si>
    <t>j’essaie de maintenir toutes mes pensées dans une direction réaliste et d’éviter les envolées de l’imagination</t>
  </si>
  <si>
    <t>Je suis une personne d’humeur égale</t>
  </si>
  <si>
    <t>J’aime avoir beaucoup de gens autour de moi.</t>
  </si>
  <si>
    <t>Il m’arrive quelquefois de m’absorber complètement dans la musique que j’écoute.</t>
  </si>
  <si>
    <t>Si c’est nécessaire, je suis disposé(e) à manipuler les gens pour obtenir ce que je veux</t>
  </si>
  <si>
    <t>Je maintiens mes affaires nettes et propres</t>
  </si>
  <si>
    <t>Quelquefois, je me sens complètement sans valeur</t>
  </si>
  <si>
    <t>Je ne m’affirme pas toujours autant que je devrais</t>
  </si>
  <si>
    <t>J’éprouve rarement des émotions fortes</t>
  </si>
  <si>
    <t>j’essaie d’être poli(e) avec chaque personne que je rencontre</t>
  </si>
  <si>
    <t>Il m’arrive parfois de ne pas tenir mes engagements ou de ne pas assumer mes responsabilités comme je le devrais</t>
  </si>
  <si>
    <t>Je me sens rarement mal à l’aise quand je suis avec des gens</t>
  </si>
  <si>
    <t>Quand je fais quelque chose, je le fais avec énergie</t>
  </si>
  <si>
    <t>Je pense qu’il est intéressant d’apprendre de nouvelles activités de loisir et de s’y perfectionner</t>
  </si>
  <si>
    <t>J’ai un ensemble bien défini d’objectifs et je travaille pour les atteindre de façon ordonnée</t>
  </si>
  <si>
    <t>FD</t>
  </si>
  <si>
    <t>D</t>
  </si>
  <si>
    <t>N</t>
  </si>
  <si>
    <t>A</t>
  </si>
  <si>
    <t>FA</t>
  </si>
  <si>
    <t>D=Désaccord</t>
  </si>
  <si>
    <t>N= Neutre</t>
  </si>
  <si>
    <t>FA=Fortement d'acord</t>
  </si>
  <si>
    <t>J’aime vraiment bien la plupart des gens que je rencontre</t>
  </si>
  <si>
    <t>Je crois que laisser les étudiants écouter des orateurs controversés ne peut que les embrouiller et les égarer</t>
  </si>
  <si>
    <t>Les dirigeants politiques doivent être plus attentifs à l’aspect humain de leur politique</t>
  </si>
  <si>
    <t>Je me sens souvent désespéré(e) et je voudrais que quelqu’un d’autre résolve mes problèmes</t>
  </si>
  <si>
    <t>Je préférerais coopérer avec les autres plutôt que me mettre en compétition</t>
  </si>
  <si>
    <t>Les préoccupations esthétiques et artistiques ne sont pas très importantes pour moi</t>
  </si>
  <si>
    <t>Réponse</t>
  </si>
  <si>
    <t>J’ai une imagination très active.</t>
  </si>
  <si>
    <t>j’ai du mal à résister à mes désirs</t>
  </si>
  <si>
    <t>Je n’aimerais pas passer mes vacances à Las Vegas</t>
  </si>
  <si>
    <t>Je trouve les discussions philosophiques ennuyeuses</t>
  </si>
  <si>
    <t>Je peux être sarcastique et cassant(e ) si besoin est</t>
  </si>
  <si>
    <t>Je préfère ne pas parler de moi-même  ni de ce que j’ai accompli</t>
  </si>
  <si>
    <t>Je perds beaucoup de temps avant de me mettre au travail</t>
  </si>
  <si>
    <t>Je me sens capable de faire face à la plupart de mes problèmes</t>
  </si>
  <si>
    <t>J’ai quelquefois éprouvé une joie intense ou de l’extase</t>
  </si>
  <si>
    <t>Je crois que les lois et les politiques sociales devraient changer pour refléter les besoins d’un monde qui  change</t>
  </si>
  <si>
    <t>J’ai la tête dure et je ne suis pas sentimental (e) dans mes attitudes</t>
  </si>
  <si>
    <t>j’examine les choses en  détail avant d’arriver à une décision</t>
  </si>
  <si>
    <t>Il est rare que je me sente craintif (Ve) ou anxieux (se)</t>
  </si>
  <si>
    <t>j’ai la réputation d’être une personne chaleureuse et amicale</t>
  </si>
  <si>
    <t>J’ai une vie imaginaire active</t>
  </si>
  <si>
    <t>Je crois que la plupart des gens vont profiter de vous si vous les laissez faire</t>
  </si>
  <si>
    <t>Je me tiens au courant et je prends habituellement des décisions intelligentes</t>
  </si>
  <si>
    <t>J’ai la réputation d’avoir le sang chaud et de me mettre facilement en colère</t>
  </si>
  <si>
    <t>Assister à des spectacles de ballet ou de danse moderne m’ennuie</t>
  </si>
  <si>
    <t>Je ne pourrais tromper personne, même si je le voulais</t>
  </si>
  <si>
    <t>Je préfère habituellement faire les choses seul ( e)</t>
  </si>
  <si>
    <t>Je ne suis pas quelqu’un de très méthodique</t>
  </si>
  <si>
    <t>Je suis rarement triste ou déprimé</t>
  </si>
  <si>
    <t>J’ai souvent dirigé les groupes auxquels j’ai  appartenu</t>
  </si>
  <si>
    <t>La manière dont je sens les choses est importante pour moi</t>
  </si>
  <si>
    <t>Je paie mes dettes rapidement et dans leur totalité</t>
  </si>
  <si>
    <t>Certaines fois, j’ai eu tellement honte que j’aurais voulu me cacher</t>
  </si>
  <si>
    <t>J’ai tendance à travailler lentement mais surement</t>
  </si>
  <si>
    <t>Une  fois que j’ai trouvé la bonne manière de faire quelque chose, je m’y tiens</t>
  </si>
  <si>
    <t>J’hésite à exprimer ma colère, même quand elle est justifiée</t>
  </si>
  <si>
    <t>Quand je commence un programme d’amélioration personnelle (par exemple : faire de la gymnastique, faire un régime, ou suivre une série de cours, etc.), j’abandonne habituellement au bout de quelques jours</t>
  </si>
  <si>
    <t>J’ai peu de difficulté à résister à la tentation</t>
  </si>
  <si>
    <t>Il m’est arrivé de faire des choses rien que pour l’excitation ou le frisson</t>
  </si>
  <si>
    <t>Je prends plaisir à résoudre des problèmes ou des énigmes</t>
  </si>
  <si>
    <t>Je suis meilleur(e) que la plupart des gens, et je le sais</t>
  </si>
  <si>
    <t>Je suis quelqu’un d’efficace qui vient toujours à bout du travail</t>
  </si>
  <si>
    <t>Quand je suis sous la pression de situation trop difficile, j’ai quelquefois l’impression que je vais m’effondrer</t>
  </si>
  <si>
    <t>Je ne suis pas un(e) optimiste souriant(e)</t>
  </si>
  <si>
    <t>On n’en fait jamais trop pour les pauvres et les personnes âgées</t>
  </si>
  <si>
    <t>Il m’arrive à l’occasion d’agir d’abord et de réfléchir ensuite</t>
  </si>
  <si>
    <t>Je me sens souvent tendu(e) et nerveux (se)</t>
  </si>
  <si>
    <t>Beaucoup de gens me trouvent assez froid(e) et distant ( e)</t>
  </si>
  <si>
    <t>Je n’aime pas perdre mon temps à rêvasser</t>
  </si>
  <si>
    <t>Je pense que la plupart des gens auxquels j’ai affaire sont honnêtes  et dignes de confiance</t>
  </si>
  <si>
    <t>Je me mets souvent dans des situations sans y être complètement préparé (e)</t>
  </si>
  <si>
    <t>On ne me considère pas comme une personne susceptible je dois avoir affaire</t>
  </si>
  <si>
    <t>J’ai vraiment besoin des autres si je reste longtemps seul(e )</t>
  </si>
  <si>
    <t>Je suis intrigué(e) par les formes et les motifs que je trouve dans l’art et dans le nature</t>
  </si>
  <si>
    <t>Etre parfaitement honnête est une mauvaise façon de faire des affaires</t>
  </si>
  <si>
    <t>J’aime bien garder chaque chose à sa place, comme cela je sais exactement ou elle est</t>
  </si>
  <si>
    <t>J’ai quelquefois éprouvé un sentiment profond de culpabilité ou de péché</t>
  </si>
  <si>
    <t>Dans les réunions, je laisse d’habitude les autres parlers</t>
  </si>
  <si>
    <t>Il est rare que j’accorde beaucoup d’attention à mes sentiments du moment</t>
  </si>
  <si>
    <t>J’essaie en général d’être attentionné(e) et prévenant (e)</t>
  </si>
  <si>
    <t>Il m’arrive de tricher quand je joue seul( e) (par exemple :quand je joue au solitaire, quand je fias des réussites,..Etc.)</t>
  </si>
  <si>
    <t>ça ne me gêne pas trop si les gens  se moquent de moi ou me taquinent</t>
  </si>
  <si>
    <t>j’essaie souvent des plats nouveaux et exotiques</t>
  </si>
  <si>
    <t>Si je n’aime pas les gens, je le leur fais savoir</t>
  </si>
  <si>
    <t>Je travaille dur pour  atteindre mes objectifs</t>
  </si>
  <si>
    <t>J’ai tendance à éviter les films choquants ou effrayants</t>
  </si>
  <si>
    <t>Je perds quelquefois tout intérêt quand les gens parlent de sujets très abstraits et théoriques</t>
  </si>
  <si>
    <t>J’essaie d’être modeste</t>
  </si>
  <si>
    <t>J’ai du mal à me forcer à faire ce que je devrais</t>
  </si>
  <si>
    <t>Je garde la tête froide dans les situations d’urgence</t>
  </si>
  <si>
    <t>Quelquefois, je déborde de bonheur</t>
  </si>
  <si>
    <t>Je n’ai aucune sympathie pour les mendiants</t>
  </si>
  <si>
    <t>Avant d’agir, je réfléchis toujours aux conséquences de mon action</t>
  </si>
  <si>
    <t>Je ressens rarement de l’appréhension au sujet de l’avenir</t>
  </si>
  <si>
    <t>Je prends réellement plaisir à parler avec les gens</t>
  </si>
  <si>
    <t>Je prends plaisir à me concentrer sur une image intérieure ou une rêverie et à explorer toutes ses possibilités en les laissant croitre et à explorer toutes ses possibilités en les laissant croitre et se développer</t>
  </si>
  <si>
    <t>Je suis méfiant (e) quand quelqu’un fait quelque chose de gentil pour moi</t>
  </si>
  <si>
    <t>Je suis fier(e)de la sureté de mon jugement</t>
  </si>
  <si>
    <t>J’en arrive souvent à être  dégouté (e)par les gens auxquels je dois avoir affaire</t>
  </si>
  <si>
    <t>Je préfère un travail qui me permet de travailler seul(e) sans être embêté (e) par les autres</t>
  </si>
  <si>
    <t>La poésie a peu ou pas d’effet sur moi</t>
  </si>
  <si>
    <t>Je détesterais qu’on me prenne pour un(e) hypocrite</t>
  </si>
  <si>
    <t>Il me semble que je ne serai jamais capable de m’organiser</t>
  </si>
  <si>
    <t>J’ai tendance à me faire des reproche quand quelque chose va de travers</t>
  </si>
  <si>
    <t>Les autres se tournent souvent vers moi pour prendre des décisions</t>
  </si>
  <si>
    <t>j’éprouve une grande variété d’émotions ou de sentiments du moment</t>
  </si>
  <si>
    <t>Je n’ai pas la réputation d’être généreux (se)</t>
  </si>
  <si>
    <t>Quand je prends un engagement, on peut toujours compter sur moi pour aller jusqu’au bout.</t>
  </si>
  <si>
    <t>Je me sens souvent inférieur ( e) aux autres</t>
  </si>
  <si>
    <t>Je ne suis pas aussi rapide et dynamique que les autres</t>
  </si>
  <si>
    <t>Je préfère souvent passer mon temps dans un entourage familier</t>
  </si>
  <si>
    <t>Quand on m’a insulté (e), j’essaie simplement de pardonner et d’oublier</t>
  </si>
  <si>
    <t>Je ne ressens pas un besoin intense de promotion</t>
  </si>
  <si>
    <t>Je m’abandonne rarement à mes impulsions</t>
  </si>
  <si>
    <t xml:space="preserve"> J’aime bien être là où il y a de l’action</t>
  </si>
  <si>
    <t>Je prends plaisir à travailler sur des énigmes du gens perlent de sujet très abstraits et théoriques</t>
  </si>
  <si>
    <t>J’ai une très haute opinion de moi-même</t>
  </si>
  <si>
    <t>Une fois que je démarre un projet, je le termine presque toujours</t>
  </si>
  <si>
    <t>Il est souvent difficile pour moi de prendre une décision</t>
  </si>
  <si>
    <t>Je ne me trouve pas particulièrement insouciant(e) et gai(e)</t>
  </si>
  <si>
    <t>Je crois que la fidélité à ses propres idéaux et principes  est plus importante que « l’ouverture d’esprit »</t>
  </si>
  <si>
    <t>Les besoins humains devraient toujours avoir la priorité sur les considérations économiques</t>
  </si>
  <si>
    <t>Je fais souvent des choses sur l’impulsion du moment.</t>
  </si>
  <si>
    <t>Je me fais souvent du souci à propos de choses qui pourraient mal tourner</t>
  </si>
  <si>
    <t>Je trouve facile de sourire et d’être agréable avec des inconnus</t>
  </si>
  <si>
    <t>Si je sens que  mon esprit commence à dériver vers des rêveries, j’ai l’habitude de m’occuper et de me mettre à me concentrer  sur un travail ou une activité</t>
  </si>
  <si>
    <t>Ma première réaction est de faire confiance aux gens</t>
  </si>
  <si>
    <t>Je n’ai pas l’impression de réussir complètement en quoi que ce soit</t>
  </si>
  <si>
    <t>Il en faut beaucoup pour me rendre furieux (se)</t>
  </si>
  <si>
    <t>Je préférerais des vacances sur une plage à la mode plutôt que dans une cabane isolée dans les bois</t>
  </si>
  <si>
    <t>Certains genres de musique exercent sur moi fascination sans fin</t>
  </si>
  <si>
    <t>Parfois, j’utilise la ruse pour amener les gens à faire ce que je veux</t>
  </si>
  <si>
    <t>J’ai tendance à être quelque peu méticuleux (se) et exigeant(e)</t>
  </si>
  <si>
    <t>J’ai une mauvaise opinion de moi-même</t>
  </si>
  <si>
    <t>Je préfère suivre mon propre chemin plutôt que diriger les autres</t>
  </si>
  <si>
    <t>Je remarque rarement les changements d’humeur  ou les sentiments que provoquent des environnements différents</t>
  </si>
  <si>
    <t>La plupart des gens que je connais m’aiment bien</t>
  </si>
  <si>
    <t>J’ai des principes moraux et j’y adhère strictement</t>
  </si>
  <si>
    <t>Je me sens à l’aise en présence de mes patrons ou d’autres autorités</t>
  </si>
  <si>
    <t>je fais parfois des changements dans la maison, juste pour essayer quelque chose de différent</t>
  </si>
  <si>
    <t xml:space="preserve"> Je m’efforce de réussir tout ce que je peux</t>
  </si>
  <si>
    <t>Je mange quelquefois à m’en rendre malade</t>
  </si>
  <si>
    <t>J’adore le  frisson qu’on ressent sur les montagnes russes</t>
  </si>
  <si>
    <t>J’ai peu d’intérêt pour la réflexion sur la nature de l’univers ou sur la condition humaine</t>
  </si>
  <si>
    <t>Je n’ai pas l’impression d’être meilleur(e)que les autres, quelle que soit leur situation</t>
  </si>
  <si>
    <t>Quand un projet devient trop difficile, j’ai  tendance à en démarrer un autre</t>
  </si>
  <si>
    <t>Je me débrouille  assez bien dans une situation de crise</t>
  </si>
  <si>
    <t>Je suis une personne joyeuse et pleine de bonne humeur</t>
  </si>
  <si>
    <t>Je me trouve large d’esprit et tolérant(e)pour les façons de vivre des autres</t>
  </si>
  <si>
    <t>Je crois que tous les êtres humains sont dignes de respect</t>
  </si>
  <si>
    <t>Il est rare que je prenne des décisions hâtives</t>
  </si>
  <si>
    <t>j’ai moins de peurs que la plupart des gens</t>
  </si>
  <si>
    <t>J’ai des liens affectifs forts avec mes amis</t>
  </si>
  <si>
    <t>Quand j’étais enfant, il était rare que je prenne plaisir à « jouer à faire semblant</t>
  </si>
  <si>
    <t>J’ai tendance à supposer le meilleur chez les gens</t>
  </si>
  <si>
    <t>Je suis quelqu’un de très compétent</t>
  </si>
  <si>
    <t>Habituellement, les réunions qui rassemblent un grand nombre de personnes m’ennuient</t>
  </si>
  <si>
    <t xml:space="preserve"> Quelquefois, quand je lis de la poésie ou quand je regarde une œuvre d’art, je ressens un frisson ou j’ai la chair de poule</t>
  </si>
  <si>
    <t>il m’arrive de faire aux gens ce que je veux en les menaçant  ou en les flattant</t>
  </si>
  <si>
    <t>Je ne suis pas un(e)maniaque du nettoyage</t>
  </si>
  <si>
    <t>Quelquefois, les choses me semblent plutôt mornes et sans espoir</t>
  </si>
  <si>
    <t>Dans les conversations, j’ai tendance à parler plus que les autres.</t>
  </si>
  <si>
    <t>Je trouve facile d’avoir de l’empathie, c’est –à-dire de ressentir moi-même ce que les autres ressentent</t>
  </si>
  <si>
    <t>Je me considère comme une personne charitable</t>
  </si>
  <si>
    <t>Ce que je fais, j’essaie de le faire soigneusement, comme ça il n’ya pas a le refaire</t>
  </si>
  <si>
    <t>Si j’ai dit ou fait quelque chose de mal à quelqu’un, je peux à peine supporter de le regarder en face à nouveau</t>
  </si>
  <si>
    <t xml:space="preserve"> Mon rythme de vie est rapide</t>
  </si>
  <si>
    <t xml:space="preserve"> En vacances, je préfère retourner dans un endroit que je connais bien plutôt qu’aller dans un nouvel endroit</t>
  </si>
  <si>
    <t>Je suis dur(e) et inflexible</t>
  </si>
  <si>
    <t>Je m’efforce à l’excellence dans tout ce que je fais</t>
  </si>
  <si>
    <t>Quelquefois, je fais sur une impulsion des choses que je regrette par la suite</t>
  </si>
  <si>
    <t>Je suis attiré(e)par les  couleurs vives et les styles voyants</t>
  </si>
  <si>
    <t>J’ai beaucoup de curiosité intellectuelle</t>
  </si>
  <si>
    <t>j’aime mieux faire l’éloge des autres plutôt que recevoir moi-même des éloges</t>
  </si>
  <si>
    <t>Il y a tant de petits travaux qu’il faudrait faire que parfois, tout simplement je les ignore tous</t>
  </si>
  <si>
    <t>Quand tout a l’air d’aller de travers, je reste capable de prendre les bonnes décisions</t>
  </si>
  <si>
    <t>J’emploie rarement des mots tels que « fantastique » ou « sensationnel » pour décrire ce qui m’est arrivé</t>
  </si>
  <si>
    <t>Je pense que si les gens ne savent pas à quoi ils croient quand ils ont vingt-cinq ans il ya quelque chose qui ne tourne pas rond chez eux</t>
  </si>
  <si>
    <t>J’ai de la compassion pour ceux qui ont moins de chance que moi</t>
  </si>
  <si>
    <t>Quand je pars en voyage, je prépare à l’avance un programme minutieux</t>
  </si>
  <si>
    <t>Des pensées effrayantes s’introduisent quelquefois dans ma tête</t>
  </si>
  <si>
    <t>Je m’intéresse vraiment aux gens avec lesquels je travaille</t>
  </si>
  <si>
    <t>J’aurais du mal à laisser simplement mon esprit vagabonder sans contrôle ni direction</t>
  </si>
  <si>
    <t>j’ai une grande confiance dans la nature humaine</t>
  </si>
  <si>
    <t>Je suis efficace et productif (ve) dans mon travail.</t>
  </si>
  <si>
    <t>Pour moi, même des petites contrariétés peuvent être irritantes</t>
  </si>
  <si>
    <t>J’aime les «  fêtes » avec plein de gens</t>
  </si>
  <si>
    <t>J’aime lire de la poésie qui met l’accent sur les sentiments et  les images plutôt que sur le déroulement de l’histoire</t>
  </si>
  <si>
    <t>Je suis fier(ère) de l’habileté avec laquelle je manipule les gens</t>
  </si>
  <si>
    <t>Je passe beaucoup de temps à chercher des choses que j’ai mal rangées</t>
  </si>
  <si>
    <t xml:space="preserve"> trop souvent, quand les choses vont mal, je me décourage et j’ai envie d’abandonner</t>
  </si>
  <si>
    <t>Je ne trouve pas facile de prendre une situation en main</t>
  </si>
  <si>
    <t xml:space="preserve"> Des choses étranges – comme certains parfums ou des noms d’endroits lointains – peuvent provoquer en moi des émotions puissantes</t>
  </si>
  <si>
    <t>Si je peux, je fais un effort pour aider les autres</t>
  </si>
  <si>
    <t>Il faudrait réellement que je sois malade pour manquer une journée du travail</t>
  </si>
  <si>
    <t>Quand des gens que je connais fond des choses idiotes, j’en suis gêné(e) pour eux</t>
  </si>
  <si>
    <t>Je suis une personne très active.</t>
  </si>
  <si>
    <t>Je m’engage souvent dans des disputes avec ma famille ou mes collègues de travail</t>
  </si>
  <si>
    <t xml:space="preserve"> Je prends toujours le même chemin quand je vais quelque part.</t>
  </si>
  <si>
    <t>Je consacre trop de temps au travail en négligeant la famille, les aimes et les loisirs</t>
  </si>
  <si>
    <t>Je suis toujours capable de garder le contrôle de mes sentiments</t>
  </si>
  <si>
    <t>J’aime bien faire partie de la foule dans les manifestations sportives</t>
  </si>
  <si>
    <t>j’ai une grande variété d’intérêts intellectuels</t>
  </si>
  <si>
    <t>Je suis quelqu’un de supérieur</t>
  </si>
  <si>
    <t>J’ai beaucoup d’autodiscipline</t>
  </si>
  <si>
    <t>Je suis assez stable émotionnellement</t>
  </si>
  <si>
    <t>Je ris facilement</t>
  </si>
  <si>
    <t>Je crois que la «  nouvelle morale » à base de permissivité n’est pas du tout une morale</t>
  </si>
  <si>
    <t>Je préférerais avoir la réputation de pardonner plutôt que celle d’être juste</t>
  </si>
  <si>
    <t>Avant de répondre à une question, j’y réfléchis à deux fois</t>
  </si>
  <si>
    <t>coefficiente</t>
  </si>
  <si>
    <t>Valeur</t>
  </si>
  <si>
    <t>N1</t>
  </si>
  <si>
    <t>N2</t>
  </si>
  <si>
    <t>N3</t>
  </si>
  <si>
    <t>N4</t>
  </si>
  <si>
    <t>N5</t>
  </si>
  <si>
    <t>N6</t>
  </si>
  <si>
    <t>TOTAL N</t>
  </si>
  <si>
    <t>E1</t>
  </si>
  <si>
    <t>E2</t>
  </si>
  <si>
    <t>E3</t>
  </si>
  <si>
    <t>E4</t>
  </si>
  <si>
    <t>E5</t>
  </si>
  <si>
    <t>E6</t>
  </si>
  <si>
    <t>TOTAL E</t>
  </si>
  <si>
    <t>O1</t>
  </si>
  <si>
    <t>O2</t>
  </si>
  <si>
    <t>O3</t>
  </si>
  <si>
    <t>O4</t>
  </si>
  <si>
    <t>O5</t>
  </si>
  <si>
    <t>O6</t>
  </si>
  <si>
    <t>TOTAL O</t>
  </si>
  <si>
    <t>A1</t>
  </si>
  <si>
    <t>A2</t>
  </si>
  <si>
    <t>A3</t>
  </si>
  <si>
    <t>A4</t>
  </si>
  <si>
    <t>A5</t>
  </si>
  <si>
    <t>A6</t>
  </si>
  <si>
    <t>TOTAL A</t>
  </si>
  <si>
    <t>C1</t>
  </si>
  <si>
    <t>C2</t>
  </si>
  <si>
    <t>C3</t>
  </si>
  <si>
    <t>C4</t>
  </si>
  <si>
    <t>C5</t>
  </si>
  <si>
    <t>C6</t>
  </si>
  <si>
    <t>TOTAL C</t>
  </si>
  <si>
    <t>Note brute</t>
  </si>
  <si>
    <t>Note T</t>
  </si>
  <si>
    <t xml:space="preserve">Note brute </t>
  </si>
  <si>
    <t>Névrosisme "N"</t>
  </si>
  <si>
    <t>Extraversion "E"</t>
  </si>
  <si>
    <t>Agréabilité "A"</t>
  </si>
  <si>
    <t>Conscience"C"</t>
  </si>
  <si>
    <t>Ouverture"O"</t>
  </si>
  <si>
    <t>Anxiété "N1"</t>
  </si>
  <si>
    <t>Colère - Hostilité "N2"</t>
  </si>
  <si>
    <t>Dépression"N3"</t>
  </si>
  <si>
    <t>Timidité Sociale "N4"</t>
  </si>
  <si>
    <t>Impulsivité "N5"</t>
  </si>
  <si>
    <t>Vulnérabilité "N6"</t>
  </si>
  <si>
    <t>Chaleur "E1"</t>
  </si>
  <si>
    <t>Grégarité "E2"</t>
  </si>
  <si>
    <t>Assertivité " E3"</t>
  </si>
  <si>
    <t>Activité " E4"</t>
  </si>
  <si>
    <t>Rech- sensations "E5"</t>
  </si>
  <si>
    <t>Emotions posit " E6"</t>
  </si>
  <si>
    <t>Réveries" O1"</t>
  </si>
  <si>
    <t>Esthétique"O2"</t>
  </si>
  <si>
    <t>Sentiments"O3"</t>
  </si>
  <si>
    <t>Actions "O4"</t>
  </si>
  <si>
    <t>Idées " O5"</t>
  </si>
  <si>
    <t>Confiance "A1"</t>
  </si>
  <si>
    <t>Droiture " A2"</t>
  </si>
  <si>
    <t>Altruisme "A3"</t>
  </si>
  <si>
    <t>Compliance " A4"</t>
  </si>
  <si>
    <t>Modestie"A5"</t>
  </si>
  <si>
    <t>Sensibilité "A6"</t>
  </si>
  <si>
    <t>Compétence " C1"</t>
  </si>
  <si>
    <t>Ordre " C2"</t>
  </si>
  <si>
    <t>Sens du devoir " C3"</t>
  </si>
  <si>
    <t>Rech , réussite"C4"</t>
  </si>
  <si>
    <t>Autodiscipline "C5"</t>
  </si>
  <si>
    <t>Délibération " C6"</t>
  </si>
  <si>
    <t>Valeur "O"</t>
  </si>
  <si>
    <t>personnalité</t>
  </si>
  <si>
    <t>FD-D-N-A-FA</t>
  </si>
  <si>
    <t>Je crois que les idées différentes du bon (bien, beau, vrai) et du mauvais (mal, laid, faux) que les gens ont dans d’autres sociétés peuvent être valables pour eux</t>
  </si>
  <si>
    <t>Quand je suis devant mes plats favoris, j’ai tendance à trop manger</t>
  </si>
  <si>
    <t>Je crois que la plupart des gens sont fondamentalement bien intentionnés</t>
  </si>
  <si>
    <t>Je ne prends pas les devoirs civiques, comme le vote, très au sérieux.</t>
  </si>
  <si>
    <t>Certains me trouvent froid(e)et calculateur (trice)</t>
  </si>
  <si>
    <t>Je crois que nous devrions nous tourner vers nos autorités religieuses pour les décisions concernant les questions morales</t>
  </si>
  <si>
    <t>J’ai souvent le sentiment de déborder d’énergie</t>
  </si>
  <si>
    <t>j’ai habituellement l’impression d’être pressé( e)</t>
  </si>
  <si>
    <t>Si quelqu`un provoque une bagarre, je suis prêt( e) à riposter.</t>
  </si>
  <si>
    <t>Il m'est parfois arrivé d'être amer(ère) et plien(e ) de ressentiment.</t>
  </si>
  <si>
    <t>fait par Mme Guers radia le 28/11/2022</t>
  </si>
  <si>
    <t>Interprétation du profil de personnalité</t>
  </si>
  <si>
    <t>Résumé des scores aux cinq grands traits</t>
  </si>
  <si>
    <t>Névrose</t>
  </si>
  <si>
    <t>Faible</t>
  </si>
  <si>
    <t>Cette personne est généralement stable émotionnellement, peu encline aux émotions négatives,calme,confianteet en contrôle d'elle-même</t>
  </si>
  <si>
    <t xml:space="preserve">TF :20-33 </t>
  </si>
  <si>
    <t>F: 34-44</t>
  </si>
  <si>
    <t>Moyen</t>
  </si>
  <si>
    <t xml:space="preserve">Cette personne se situe globalement dans la moyen quant a sa gestion de stress </t>
  </si>
  <si>
    <t>45-55</t>
  </si>
  <si>
    <t>Elevé</t>
  </si>
  <si>
    <t>Cette personne est généralement tendance à expérimenter des affects négatifs comme "la peur, la colére,tristesse, le dégout,…."sont moins capables de contrôle leurs pulsions, et ont tendance à moins bien faire face au stress.</t>
  </si>
  <si>
    <t>E: 56-64</t>
  </si>
  <si>
    <t>TE : 65-80</t>
  </si>
  <si>
    <t>Extraversion</t>
  </si>
  <si>
    <t>Cette personne est généralement introvertis sont ainsi réservés plutôt qu’inamicaux, indépendants plutôt que grégaires, constants plutôt que léthargiques. Les sujets introvertis peuvent se dire timides quand ils veulent dire qu’ils préfèrent être seuls; ils ne souffrent pas nécessairement d’anxiété sociale. Enfin, bien que n’ayant pas l’exubérance des sujets extravertis, les introvertis ne sont ni malheureux ni pessimistes.</t>
  </si>
  <si>
    <t>TF: 20-33</t>
  </si>
  <si>
    <t>« Cette personne se situe globalement dans la moyenne quant à son extraversion, sa sociabilité, sa grégarité, sa tendance à s’affirmer et à s’exprimer, l’énergie qu’elle déploie, son besoin de stimulation et son optimisme. »</t>
  </si>
  <si>
    <t>Cette personne est généralement  extravertis sont sociables. Appréciant les gens et préférant les groupes importants et les réunions, ils sont également sûrs d’eux, actifs et loquaces. Ils aiment la stimulation et tendent à être joyeux. Ils sont gais, énergiques et optimistes</t>
  </si>
  <si>
    <t>FE: 65-80</t>
  </si>
  <si>
    <t xml:space="preserve"> OUVERTURE
</t>
  </si>
  <si>
    <t>Cette personne est généralemnt  tendance à être conservateurs et conventionnels dans leurs idées et dans leur comportement. Ils préfèrent les situations qui leur sont familières à la nouveauté et leurs réactions émotives sont émoussées. Il semblerait plutôt que les personnes renfermées aient simplement des champs d’intérêts moins étendus et moins intenses.</t>
  </si>
  <si>
    <t>TF:20-33</t>
  </si>
  <si>
    <t>F:34-44</t>
  </si>
  <si>
    <t xml:space="preserve"> Cette personne se situe globalement dans la moyenne quant à ses niveaux de curiosité intellectuelle, d’imagination, d’introspection, de créativité, de sens artistique et d’ouverture à la nouveauté et à la diversité.</t>
  </si>
  <si>
    <t>Cette personne se situé globalement dans le score élevé à la dimension de l’ouverture ont une imagination active, la sensibilité esthétique, l’attention prêtée à ses propres sentiments, la préférence pour la variété, la curiosité intellectuelle et l’indépendance de jugement. Les sujets ouverts sont curieux de tout ce qui se produit dans leur univers interne et externe et leur vie est plus riche en expériences. Ils sont disposés à concevoir des idées nouvelles et à adopter des valeurs non conventionnelles. Ils vivent plus intensément les émotions positives et négatives que les sujets renfermés</t>
  </si>
  <si>
    <t>E:56-64</t>
  </si>
  <si>
    <t>FE:65-80</t>
  </si>
  <si>
    <t>AGRÉABILITÉ</t>
  </si>
  <si>
    <t>Cette personne est  typiquement désagréables ou antagonistes. Ils sont égocentriques et associés aux personnalités narcissiques, antisociales et paranoïaques.</t>
  </si>
  <si>
    <t xml:space="preserve"> F: 34-44</t>
  </si>
  <si>
    <t>Cette personne se situe globalement dans la moyenne concernent cette relation interpersonnelle c’est une personne franche et sincère sa prise de décisions rationnelles fondées sur une logique bien précise</t>
  </si>
  <si>
    <t>Cette personne à tendabce à être fondamentalement altruiste, il/elle as tendance à avoir de la sympathie pour les autres et désire de les aider,et croient que les autres personnes seront également aidant en retour</t>
  </si>
  <si>
    <t>FE 65-80</t>
  </si>
  <si>
    <t xml:space="preserve"> CONSCIENCE</t>
  </si>
  <si>
    <t>cette personne est géneralement moins exigeantes dans l'application de principes moraux, et plus laxiste dans la poursuite de leurs objectifs.</t>
  </si>
  <si>
    <t xml:space="preserve">cette personne est moyennement implique dans la planification,l'organisationet l'exécution des tâches </t>
  </si>
  <si>
    <t>Cette personne est généralement impliqués dans la planification, l'organisation et l'exécution des tâches. Cette conscience élevée est associée à la réussite scolaire et professionnelle.</t>
  </si>
  <si>
    <t>FE : 56-80</t>
  </si>
  <si>
    <t>Indices des huit grandes compétences</t>
  </si>
  <si>
    <t xml:space="preserve">    </t>
  </si>
  <si>
    <t>Très faible</t>
  </si>
  <si>
    <t xml:space="preserve"> Faible </t>
  </si>
  <si>
    <t xml:space="preserve"> Élevé </t>
  </si>
  <si>
    <t>Très élevé</t>
  </si>
  <si>
    <t xml:space="preserve">Mener et décider  </t>
  </si>
  <si>
    <t xml:space="preserve"> Soutenir et coopérer</t>
  </si>
  <si>
    <t>Intéragir et communiquer</t>
  </si>
  <si>
    <t>Analyser et interpréter</t>
  </si>
  <si>
    <t>Créer et conceptualiser</t>
  </si>
  <si>
    <t>Organiser et exécuter</t>
  </si>
  <si>
    <t>S'adapter et gérer la pression</t>
  </si>
  <si>
    <t>Entreprendre et performer</t>
  </si>
  <si>
    <t>Mener et décider :</t>
  </si>
  <si>
    <t>Extraversion : Autoité-Activite //Conscience : compétence -autodiscipline</t>
  </si>
  <si>
    <t>moyenne</t>
  </si>
  <si>
    <t xml:space="preserve">Elevé : </t>
  </si>
  <si>
    <t>Cette personne a probablement une bonne capacité à exercer du leadership, à prendre contrôle d’une situation ou d’un projet, à initier des actions, à donner des directives et à assumer des responsabilités</t>
  </si>
  <si>
    <t>Cette personne à une faible capacité à exercer du leadership,à prendre contrôle d'une situation ou d'un projet , à initier des actions à donner des directives et à assumer des responsabilités</t>
  </si>
  <si>
    <t>Cette personne à une capacité moyenne à exercer du leadership,à prendre contrôle d'une situation ou d'un projet , à initier des actions à donner des directives et à assumer des responsabilités</t>
  </si>
  <si>
    <t xml:space="preserve"> Soutenir et coopérer :</t>
  </si>
  <si>
    <t>Altruisme - Modestée-soumission // Grégarisme - autodiscipline</t>
  </si>
  <si>
    <t>Elevé:</t>
  </si>
  <si>
    <t>Cette personne démontre de solides compétences en matière de soutien et de coopération. Elle est souvent prête à aider les autres et à travailler en équipe pour atteindre les objectifs communs.</t>
  </si>
  <si>
    <t>Faible:</t>
  </si>
  <si>
    <t>Cette personne a tendance à préconiser une approche des relations de travail axée davantage sur la compétition que sur la coopération. Bien qu’elle ne soit pas fermée à l’entraide et à la collaboration, elle a plutôt tendance à penser que chacun doit d’abord s’aider soi-même. Pour elle, le respect doit être mérité et elle pourra contester lorsqu’elle est en désaccord.</t>
  </si>
  <si>
    <t>Cette personne interagit avec ses collègues, ses patrons et les clients de manière positive et avec respect dans la mesure où ces attitudes sont réciproques.Elle est prête à offrir du soutien à ses collégues.Elle pourra se montrer moins collaborative, démocratique et sympathique losque la dynamique d'équipe de travail n'est pas axée sue ces valeurs</t>
  </si>
  <si>
    <t>Intéragir et communiquer :</t>
  </si>
  <si>
    <t>confiance- altruisme//ouverture aux Idées - Esthétique// Extraversion</t>
  </si>
  <si>
    <t>Cette personne à une grand capacité entrer en relation avec autrui, à développer un réseau de contacts, ainsi qu’à influencer et à persuader. Son niveau de confiance en elle est elevé lorsqu’il s’agit de rencontrer de nouvelles personnes, d’interagir dans un groupe, de s’exprimer et de faire valoir son point de vue.</t>
  </si>
  <si>
    <t>Cette personne à une faible capacité entre en relation avec autrui;à développer une réseau de contacts,ainsi qu'à influencer et à persuader .manque de confiance en soi leur de recontrer de nouvelle personne ,elle trouve des défficultées à s'intégrer dans le groupe,de s'exprimer et de faire valoir son point de vue.</t>
  </si>
  <si>
    <t>Moyen :</t>
  </si>
  <si>
    <t>Cette personne ne se démarque pas de la moyenne quant à sa capacité à entrer en relation avec autrui, à développer un réseau de contacts, ainsi qu’à influencer et à persuader. Son niveau de confiance en elle se situe globalement dans la moyenne lorsqu’il s’agit de rencontrer de nouvelles personnes, d’interagir dans un groupe, de s’exprimer et de faire valoir son point de vue.</t>
  </si>
  <si>
    <t>Analyser et interpréter :</t>
  </si>
  <si>
    <t>Conscience -Ouverture d'action -idée -autodisipline- ouverture reverie</t>
  </si>
  <si>
    <t>Cette personne préfère les tâche et  les problème compléxes requérant un travail d'analyse important plutôt que les tâches simple.Elle s'adapte facilement à la nouveauté, tel que les évolutions technologiques.</t>
  </si>
  <si>
    <t>Cette personne préfère les tâches et les problème simples plutôt que les tâches et problème compléxes requérant un travail d'analyse important.Elle pourra avoir de la difficulté a s'adapter à la nouveauté, tel que les évolutions technologiques, elle préfère le plus souvent s'en tenir aux choses connues et qui ont fait leur preuves.</t>
  </si>
  <si>
    <t>Moyen:</t>
  </si>
  <si>
    <t>Cette personne se situe dans la moyenne des gens quant à sa tendance à déployer une pensée analytique et à son aisance à travailler
avec des problèmes et des idées complexes. Son ouverture face à la nouveauté, tel que les évolutions technologiques, et sa capacité à s’y
adapter, se situent dans la moyenne.</t>
  </si>
  <si>
    <t>Créer et conceptualiser :</t>
  </si>
  <si>
    <t>Ouverture " idée -action-esthétique-arthestique -reverie"</t>
  </si>
  <si>
    <t>Elevé :</t>
  </si>
  <si>
    <t>Cette personne est susceptible de bien performer dans les tâches et les situations qui nécessitent de l’ouverture aux nouvelles idées et
aux nouvelles expériences. Elle peut faire preuve d’innovation et de créativité dans la gestion des problèmes et dans différentes situations.
Elle recherche les occasions d’apprentissage et de développement. Elle est généralement favorable aux changements organisationnels et
peut être un moteur de changement.</t>
  </si>
  <si>
    <t>Cette personne est plus à l'aise dans les tâches et les situations concrétes et qui lui sont connues que dans celles nécessitant de l'innovation et de la créativité.Elle préfére généralement s'en tenir à ce qu'elle connait plutôt que d'avoir à apprendre de nouvelle choses.Elle peut  accueillir certains changements organisationnels avec réticence et elle n'a pas tendance à initier des chagements.</t>
  </si>
  <si>
    <t>La personne présente une capacité moyenne à créer et conceptualiser. Elle a une approche plus pragmatique et se concentre souvent sur des solutions pratiques plutôt que sur des idées innovantes</t>
  </si>
  <si>
    <t>Organiser et exécuter :</t>
  </si>
  <si>
    <t>Conscience</t>
  </si>
  <si>
    <t>Faible :</t>
  </si>
  <si>
    <t>Cette personne peut rencontrer des difficultés dans ces domaines et avoir besoin de soutien et de développement pour améliorer ses compétance organisationnelles et d'exécution,</t>
  </si>
  <si>
    <t>Cette personne se trouve dans la moyenne des gens quant à sa tendance à planifier à l’avance, à travailler de manière systématique et organisée, ainsi qu’à suivre les directives et les procédures</t>
  </si>
  <si>
    <t>S'adapter et gérer la pression :</t>
  </si>
  <si>
    <t>Névrose "N"; Vulnérabilité, difficulté à s'adapter aux changements,sensibilite émotionnelle</t>
  </si>
  <si>
    <t>Cette personne à une bonne capacité à gérer la pression,ainsi qu'à s'adapter et à faire face aux reverset aux échecs .Il est rare qu'elle sesente dépassée par les événements.</t>
  </si>
  <si>
    <t>Cettel personne à une faible capacité à gérer la pression, ainsi qu'à s'adapter et à faire face aux reverset aux échec;peut recontrer des difficultes dans ces domains et avoir besoin de soutien et de développement pour améliorer ses compétences d'adaptation et de gestion du stress</t>
  </si>
  <si>
    <t>Cette personne est dans la moyenne quant à sa capacité à gérer la pression, ainsi qu’à s’adapter et à faire face aux revers et aux échecs. Il peut lui arriver de se sentir dépassée par les événements.</t>
  </si>
  <si>
    <t>Ouverture à l'expérience "O"-  Conscience - Agréabilité</t>
  </si>
  <si>
    <t>la personne est exempte de défi ou de domaines d'amélioration cependant cela indique qu'elle possède des traits de personnalité qui sont souvent associés à une forte capacité d'entreprendre et de performer.</t>
  </si>
  <si>
    <t>la personne est incapable d'entreprendre ou de performer.cela indique simplement quelle peut rencontrer des défis dans ces domaines et avoir besoin de soutien et de développement pour renforcer ses compétences et sa confiance en soi.</t>
  </si>
  <si>
    <t>Myen:</t>
  </si>
  <si>
    <t>Cette personne n’est pas particulièrement centrée sur les résultats et sur l’atteinte d’objectifs, sans pour autant être négligente ou désengagée. Elle ne se démarque pas de la moyenne quant à sa recherche de performance et de réussite. Les opportunités de développement et d’avancement de carrière peuvent être appréciées mais ne sont pas nécessairement centrales pour elle.</t>
  </si>
  <si>
    <r>
      <t xml:space="preserve">  </t>
    </r>
    <r>
      <rPr>
        <sz val="16"/>
        <color theme="1"/>
        <rFont val="Calibri"/>
        <family val="2"/>
        <scheme val="minor"/>
      </rPr>
      <t>La personnalité:</t>
    </r>
    <r>
      <rPr>
        <sz val="11"/>
        <color theme="1"/>
        <rFont val="Calibri"/>
        <family val="2"/>
        <scheme val="minor"/>
      </rPr>
      <t xml:space="preserve">
          </t>
    </r>
    <r>
      <rPr>
        <sz val="14"/>
        <color theme="1"/>
        <rFont val="Calibri"/>
        <family val="2"/>
        <scheme val="minor"/>
      </rPr>
      <t>Les traits et facettes de la personnalité permettent d’évaluer les fondements du fonctionnement
psychologique d’une personne. Ils rendent compte de la manière dont la personne aura tendance à réfléchir
et à traiter l’information (aspect cognitif), à ressentir et à gérer ses émotions (aspect émotionnel), à interagir
avec autrui (aspect relationnel), ainsi qu’à réagir et à s’adapter aux événements (aspect expérientiel).                                                                    
       La personnalité renseigne également sur les aspects motivationnels et attitudinaux du comportement.
Les traits et facettes sur lesquels les scores de la personne sont les plus contrastés par rapport à la moyenne
de l’échantillon normatif représentent ses caractéristiques les plus distinctives. Plus un trait est élevé ou bas
(plus un trait se démarque de la moyenne), plus il sera saillant chez la personne. Les traits les plus saillants
de la personne représentent les caractéristiques que l’on remarquera en priorité à son contact et qui
caractériseront le plus son comportement dans différentes situations.</t>
    </r>
  </si>
  <si>
    <t xml:space="preserve">Age: </t>
  </si>
  <si>
    <t>Névrose :</t>
  </si>
  <si>
    <t xml:space="preserve">&gt;Description :
Description des scores élevés : Les personnes qui ont un score élevé dans la facette névrose ont une tendance à expérimenter des affects négatifs comme la peur, la tristesse, la honte, la colère, la culpabilité et le dégoût. Elles sont également sujettes à des idées irrationnelles, sont moins capables de contrôler leurs pulsions, et ont tendance à moins bien faire face au stress. Description des scores faibles : Les sujets qui obtiennent des scores bas à N sont stables sur le plan émotif. Ils sont habituellement calmes, d’humeurs égales, détendus et sont capables de faire face aux situations stressantes sans être indisposés ou ébranlés.
</t>
  </si>
  <si>
    <t>%</t>
  </si>
  <si>
    <t>Extraversion :</t>
  </si>
  <si>
    <t xml:space="preserve">Description :
Description des scores élevés : Les individus extravertis sont sociables. Appréciant les gens et préférant les groupes importants et les réunions, ils sont également sûrs d’eux, actifs et loquaces. Ils aiment la stimulation et tendent à être joyeux. Ils sont gais, énergiques et optimistes. Description des scores faibles : Les individus introvertis sont ainsi réservés plutôt qu’inamicaux, indépendants plutôt que grégaires, constants plutôt que léthargiques. Les sujets introvertis peuvent se dire timides quand ils veulent dire qu’ils préfèrent être seuls ; ils ne souffrent pas nécessairement d’anxiété sociale. Enfin, bien que n’ayant pas l’exubérance des sujets extravertis, les introvertis ne sont ni malheureux ni pessimistes.
</t>
  </si>
  <si>
    <t xml:space="preserve"> OUVERTURE :</t>
  </si>
  <si>
    <t xml:space="preserve">&gt; Description :
Description des scores élevés : Les individus qui obtiennent un score élevé à la dimension de l’ouverture ont une imagination active, la sensibilité esthétique, l’attention prêtée à ses propres sentiments, la préférence pour la variété, la curiosité intellectuelle et l’indépendance de jugement. Les sujets ouverts sont curieux de tout ce qui se produit dans leur univers interne et externe et leur vie est plus riche en expériences. Ils sont disposés à concevoir des idées nouvelles et à adopter des valeurs non conventionnelles. Ils vivent plus intensément les émotions positives et négatives que les sujets renfermés. Description des scores faibles : Les femmes et les hommes qui obtiennent des scores bas à la dimension de l’ouverture ont tendance à être conservateurs et conventionnels dans leurs idées et dans leur comportement. Ils préfèrent les situations qui leur sont familières à la nouveauté et leurs réactions émotives sont émoussées. Il semblerait plutôt que les personnes renfermées aient simplement des champs d’intérêts moins étendus et moins intenses.
</t>
  </si>
  <si>
    <t>Agréabilité :</t>
  </si>
  <si>
    <t xml:space="preserve">&gt;Description :
Description des scores élevés : Les personnes qui ont un score élevé dans la dimension de l’agréabilité ont tendance à être fondamentalement altruiste. Ils ont tendance à avoir de la sympathie pour les autres et désireux de les aider, et croient que les autres personnes seront également aidant en retour. Description des scores faibles : Les individus qui obtiennent un score faible sont typiquement désagréables ou antagonistes. Ils sont égocentriques et associés aux personnalités narcissiques, antisociales et paranoïaques
</t>
  </si>
  <si>
    <t>Conscience :</t>
  </si>
  <si>
    <t xml:space="preserve">&gt;Description :
Description des scores élevés : Les sujets qui ont un score élevé sont scrupuleux, ponctuels et fiables. Ils sont généralement impliqués dans la planification, l'organisation et l'exécution des tâches. Cette conscience élevée est associée à la réussite scolaire et professionnelle. Description des scores faibles : Les personnes ayant un score faible sont moins exigeantes dans l'application de principes moraux, et plus laxiste dans la poursuite de leurs objectifs.
</t>
  </si>
  <si>
    <t>total</t>
  </si>
  <si>
    <t>E</t>
  </si>
  <si>
    <t>Total</t>
  </si>
  <si>
    <t>Entreprendre et performer :</t>
  </si>
  <si>
    <r>
      <t xml:space="preserve">  </t>
    </r>
    <r>
      <rPr>
        <b/>
        <sz val="16"/>
        <color theme="1"/>
        <rFont val="Calibri"/>
        <family val="2"/>
        <scheme val="minor"/>
      </rPr>
      <t>La personnalité:</t>
    </r>
    <r>
      <rPr>
        <b/>
        <sz val="11"/>
        <color theme="1"/>
        <rFont val="Calibri"/>
        <family val="2"/>
        <scheme val="minor"/>
      </rPr>
      <t xml:space="preserve">
          </t>
    </r>
    <r>
      <rPr>
        <b/>
        <sz val="14"/>
        <color theme="1"/>
        <rFont val="Calibri"/>
        <family val="2"/>
        <scheme val="minor"/>
      </rPr>
      <t>Les traits et facettes de la personnalité permettent d’évaluer les fondements du fonctionnement
psychologique d’une personne. Ils rendent compte de la manière dont la personne aura tendance à réfléchir
et à traiter l’information (aspect cognitif), à ressentir et à gérer ses émotions (aspect émotionnel), à interagir
avec autrui (aspect relationnel), ainsi qu’à réagir et à s’adapter aux événements (aspect expérientiel).                                                                    
       La personnalité renseigne également sur les aspects motivationnels et attitudinaux du comportement.
Les traits et facettes sur lesquels les scores de la personne sont les plus contrastés par rapport à la moyenne
de l’échantillon normatif représentent ses caractéristiques les plus distinctives. Plus un trait est élevé ou bas
(plus un trait se démarque de la moyenne), plus il sera saillant chez la personne. Les traits les plus saillants
de la personne représentent les caractéristiques que l’on remarquera en priorité à son contact et qui
caractériseront le plus son comportement dans différentes situations.</t>
    </r>
  </si>
  <si>
    <t xml:space="preserve">Type de poste </t>
  </si>
  <si>
    <t>Directeur</t>
  </si>
  <si>
    <t xml:space="preserve">Sous-Directeur </t>
  </si>
  <si>
    <t>Chef de département</t>
  </si>
  <si>
    <t>Résponsable cellule</t>
  </si>
  <si>
    <t xml:space="preserve">Chef d'agence </t>
  </si>
  <si>
    <t>Superviseur</t>
  </si>
  <si>
    <t>Chef de projet</t>
  </si>
  <si>
    <t xml:space="preserve">Consiel client </t>
  </si>
  <si>
    <t>Téléconseiller</t>
  </si>
  <si>
    <t>Délègue commercial</t>
  </si>
  <si>
    <t xml:space="preserve">Agent réclamation - Animateur réseau - Expere réseau </t>
  </si>
  <si>
    <t>Formateur</t>
  </si>
  <si>
    <t>NEOPI R</t>
  </si>
  <si>
    <t>TF</t>
  </si>
  <si>
    <t>F</t>
  </si>
  <si>
    <t>M</t>
  </si>
  <si>
    <t>TE</t>
  </si>
  <si>
    <t>Mener et décider</t>
  </si>
  <si>
    <t>Intéragir et communique</t>
  </si>
  <si>
    <t xml:space="preserve">S'adapter et gérer la pression </t>
  </si>
  <si>
    <t>Cette personne est souvent afficaces dans leur gestion du temps,capable de prioriser leur tâches et de bien mener leurs projets .elle ont tendance a être fiables et à respecter les délais . Leur approche méthodique et leur capacité à s'organiser leur permettet de gérer efficacement les différentes exigences et réponsabilité qui leur sont confiées.</t>
  </si>
  <si>
    <t>Directuer commercial et sous directeur commercial : intéragir et communique ++</t>
  </si>
  <si>
    <t>Assistant juridiue</t>
  </si>
  <si>
    <t>Charge de formation</t>
  </si>
  <si>
    <t>Charge de reporting</t>
  </si>
  <si>
    <t>Antenniste</t>
  </si>
  <si>
    <t>Style Émotionnel:</t>
  </si>
  <si>
    <t>Pessimiste</t>
  </si>
  <si>
    <t>Réactivité émotionnelle</t>
  </si>
  <si>
    <t>Calme</t>
  </si>
  <si>
    <t>Optimiste</t>
  </si>
  <si>
    <t>Gestion des Dangers:</t>
  </si>
  <si>
    <t xml:space="preserve">Inadaptation: </t>
  </si>
  <si>
    <t>Sensibilité réactivité</t>
  </si>
  <si>
    <t>Stoïcisme</t>
  </si>
  <si>
    <t>Adaptation</t>
  </si>
  <si>
    <t>Gestion des Conflits:</t>
  </si>
  <si>
    <t xml:space="preserve">Conflictuelle: </t>
  </si>
  <si>
    <t>Insensibilité</t>
  </si>
  <si>
    <t>Inhibition</t>
  </si>
  <si>
    <t>Conciliante</t>
  </si>
  <si>
    <t>Gestion des Attentes:</t>
  </si>
  <si>
    <t>Désorganisée</t>
  </si>
  <si>
    <t xml:space="preserve">Anxiété de performance: </t>
  </si>
  <si>
    <t>Décontractée</t>
  </si>
  <si>
    <t>Déterminée</t>
  </si>
  <si>
    <t>Style d'Intérêts:</t>
  </si>
  <si>
    <t>Culture populaire</t>
  </si>
  <si>
    <t>Interactions créatives</t>
  </si>
  <si>
    <t>Casanier</t>
  </si>
  <si>
    <t>Introspection</t>
  </si>
  <si>
    <t>Style Interpersonnel:</t>
  </si>
  <si>
    <t>Modeste</t>
  </si>
  <si>
    <t>Leader chaleureux</t>
  </si>
  <si>
    <t>Individualiste</t>
  </si>
  <si>
    <t>Leader égocentrique</t>
  </si>
  <si>
    <t>Style d'Activité:</t>
  </si>
  <si>
    <t>Recherche de plaisir</t>
  </si>
  <si>
    <t>Centré sur les projets collectifs</t>
  </si>
  <si>
    <t xml:space="preserve">Passivité: </t>
  </si>
  <si>
    <t>Centré sur les projets individuels</t>
  </si>
  <si>
    <t>Valeurs Sociales:</t>
  </si>
  <si>
    <t>Valeurs sociales</t>
  </si>
  <si>
    <t>Valeurs progressistes</t>
  </si>
  <si>
    <t xml:space="preserve">Valeurs conservatrices: </t>
  </si>
  <si>
    <t>Libre penseur</t>
  </si>
  <si>
    <t>Style d'Apprentissage</t>
  </si>
  <si>
    <t>Apprenant pragmatique</t>
  </si>
  <si>
    <t>Bon apprenant</t>
  </si>
  <si>
    <t xml:space="preserve">Désengagé </t>
  </si>
  <si>
    <t>Apprenant inconstant</t>
  </si>
  <si>
    <t>Collaboration avec Autrui:</t>
  </si>
  <si>
    <t>Bien intentionnée</t>
  </si>
  <si>
    <t>Dévouée</t>
  </si>
  <si>
    <t>Désengagée</t>
  </si>
  <si>
    <t>Centrée sur la tâche</t>
  </si>
  <si>
    <t>xxxx</t>
  </si>
  <si>
    <t>Style émotionnel</t>
  </si>
  <si>
    <t>Calme : Personne ayant une faible réactivité émotionnelle. Les émotions positives et négatives sont généralement faibles en intensité et, lorsqu'elles sont intenses, elles ne persistent pas longtemps. Peu réactive face à des événements qui affecteraient la plupart des gens .Exprime peu d'émotions.</t>
  </si>
  <si>
    <t>Optimiste: Personne au style émotionnel optimiste. Peu d'émotions négatives, alors que les émotions positives sont fréquentes et intenses. La vie est abordée avec optimisme comme,une source de plaisirs et de stimulations. Les réactions sociales sont des sources d'émotions positives. Tendance à la recherche du plaisir plutot qu'à l'évitement de la douleur</t>
  </si>
  <si>
    <t>Pessimiste : Personne au style émotionnel pessimiste. Eprouve peu d'émotions positives et intériorise ses émotions négatives. Tendance à s'isoler socialement, à percevoir l'environnement comme étant menaçant et à avoir une vision négative de la vie . Evitement de la douleur au détriment de la reherche du plaisir .</t>
  </si>
  <si>
    <t>Réactive émotionnellement : Personne ayant tendance à l'exubérance émotionnelle.Propension à vivre des émotions intenses , tant positives que négatives, qui peuvent parfois fluctuer rapidement.Les relations sociales ont une incidence importante sur l'état émotionnel de cette personne, ce qui peut donner lieu à des relations tumultueuses.</t>
  </si>
  <si>
    <t>Gestion des dangers, du stress et des problèmes de la vie</t>
  </si>
  <si>
    <t>Stoique: Personne à la vision pragmatique des danger et des problèmes de la vie .Face aux risuqes et aux dangers, réagira par des actions concrétes.Aborde les problèmes et revers de la vie comme des moments à travers lesquels il faut passer, sans nécessairement chercher à changer son comportement.</t>
  </si>
  <si>
    <t>Capable d'adaptation : Personne qui reste en contrôle de ses émotions lors de situations stressantes ou problèmatiques. Réagit de manière adaptative par la recherche de solutions créatives. Capacité à prendre une certaine distance face aux stress de la vie et à les gérer avec crétivité.</t>
  </si>
  <si>
    <t>Réticente à s'dapter ( inadaptation): personne éprouvant de la difficulté à trouver des solutions .Risque de se laisser envahir par le stress et les émotions négatives lorsque confrontée à des difficultés et à des situations stressantes. Tendance à fuir ses émotions plutot qu'à tenter de les comprendre.</t>
  </si>
  <si>
    <t>Hypersensible et hyper réactive: Personne ayant tendance à se laisser envahir par ses émotions négatives, lorsque confrontée à des difficultés ou à des situations stressantes. Peut accorder beaucoup de temps à analyser ses émotions négatives, à broyer du noir et à anticiper le pire                         ( pessimisme+imagination). peut faire preuve d'hypervigilance face aux dangers éventuels et aux choses qui pourraient mal tourner.</t>
  </si>
  <si>
    <t>Gestion des conflits et de la colère</t>
  </si>
  <si>
    <t>Insensible : Les conflits interpersonnels ne provoquent pas de détresse émotionnelle chez cette personne.Demeure en contrôle de ses émotions, mais ne d'empeche pas de répliquer, Meme si cela peut blesser l'autre. Peut aller jusqu'à planifier froidement une vengeance lorsque l'agréabilité est très basse.</t>
  </si>
  <si>
    <t>Conciliante: Les conflits interpersonnels avec cette personne sont rares.conciliante, peu prompte aux réactions négatives, bien intentionnée à l'égard d'autrui. Cherche à comprendre le point de vue de l'autre.prete à pardonner un affront afin de maintenir la bonne entente là ou d'autres réagiraient avec hostilité.</t>
  </si>
  <si>
    <t>Conflictuelle : Personne prompte aux conflits interpersonnels à cause de sa réactivité émotionnelle négative et de son faible souci des sentiments d'autrui. Tedance à percevoir autrui comme étant menaçant. Lors de situations conflictuelles, exprime sa colére malgré les effets que cela aura sur l'autre . peut etre perçue comme hostile et colérique.</t>
  </si>
  <si>
    <t>Inhibée : Les situations de conflit interpersonnel provoqient des émotions négatives importantes ( colére, tristesse et culpabilité).Inhibe l'expression de ses émotions négatives afin de ne pas blesser autrui et d'envenimer les chises.Si elle exprime sa colére, elle ressent de la culpabilité et craint d'etre jugée négativement et d'etre rejetée.</t>
  </si>
  <si>
    <t>Gestion des attentes et rapport au rendement</t>
  </si>
  <si>
    <t>Décontractée : Personne ayant peu d'attentes élevées envers elle-meme. Ne recherche pas la réussite , et cela ne l'inquiéte pas.N'a rien à prouver ni à elle-meme ni aux autres.Gére bien l'incertitude. Prend la vie comme elle vient et a confiance que les choses iront pour le mieux.</t>
  </si>
  <si>
    <t>Déterminée : Personne ayant une bonne capacité à mettre de coté ses émotions négatives et à retarder la gratification pour se concentrer sur ses objectifs. A des objectifs de réussite élevés tout en étant capable de gérer les difficultés.A des objectifs de réussite élevés tout en étant capable de gérer les difficultés. Les moments de découragement sont brefs et ne la font pas déroger des objectifs et de ce qui est plnifié . Capable de gérer la pression liée aux attentes de rendement.</t>
  </si>
  <si>
    <t>Désorganisée : Personne ayant tendance à ne pas planifier, à prendre les choses comme elles viennent et à etre pessimiste face à l'avenir. Peut indiquer un sentiment d'efficacité personnelle fiable. Tenadnce à éviter les situations de rendement afin d'éviter l'échec et l'humiliation. les responsabilités sont une source de stress importante. Difficulté à gérer les attentes d'autrui. tendance à prendre des décisions immédiates sous le coup de l'émotion.</t>
  </si>
  <si>
    <t>Sujette à l'anxiété de performance : Personne susceptible de se mettre beaucoup de pression pour atteindre des objectifs élevés. Les échec et l'anticipation de l'échec provoquent une détresse importante. L'organisation et la planification rigides peuvent etre un mécanisme pour gérer l'anxiété. Aura de la difficulté à gérer la pression liée au rendement . A risuqe d'épuisement professionnel.</t>
  </si>
  <si>
    <t>Style d'intérets</t>
  </si>
  <si>
    <t>Culture Populair : Personne dont les contacts sociaux sont fréquents . Evite les situations qui nécessitent d'influencer autrui et recherche celles dans lesquelles il est possible de réussir en s'en tenant à des façons de faire habituelles.Préférera la continuité et la consolidation au changement et à l'innovation.</t>
  </si>
  <si>
    <t>Créative dans ses interactions: Personne dont les intéréts font converger grégarité, ascendance sociale, créativité et curiosité intllectuelle . Désire partager ses connaissances et sa créativité.Leader créatif et innovateur . Intéressée à comprendre et à influencer les gens et la société; souhaite partager ses idées et sa créativité avec d'autres personnes, de manière à les influencer ( ex: enseignant, pliticien, gestionnaires).</t>
  </si>
  <si>
    <t>casanière : Personne introvertie et pragmatique dont les intérets simples peuvent etre poursuivis seul ou en petit groupe.préfére une vie tranquille sur les plans social et créatif .préférence pour le travail avec des données plutôt qu'avec des idées et avec des choses plutot qu'avec des personnes ( ex: comptabilité, technique)</t>
  </si>
  <si>
    <t>introspective : Personne intéressée prioritairement par les activités intellectuelles ou artistiques qui peuvent etre poursuivies de manière individuelle ou en petit groupe ( ex: littérature , musique) sera davantage intéressée à travailler avec des idées plutot qu'avec des données et avec des choses plutot qu'avec des personnes " ex: rechreche scontifique , création artistique"</t>
  </si>
  <si>
    <t>Style d'activités</t>
  </si>
  <si>
    <t xml:space="preserve">A la recherche de plaisirs: Personne chez qui l'affirmation sociale, le dynamisme,la sociabilité et l'enthousiasme associés à l'extraversion s'expriment de manière spontanée plutôt qu'à traver des projets structurés et menés à terme.s'investit préférablement dans des activités sociales stimulantes et diversifiées qui ne damandent pas d'effort contraignant et soutenu ni de planification à long terme. </t>
  </si>
  <si>
    <t>Centrée sur les projets collectifs : Personne énergique, enthousiaste et productive.Déterminée à faire ce qu'il faut pour atteindre ses objectifs. Aime organiser des activités ou des projets,impliquant d'autres personnes. Entreprend et prend en charge des projets, et les mène à terme. Peut s'avérer un leader exigeant et centré sur la réussite.</t>
  </si>
  <si>
    <t>Passive: Personne qui fait preuve de passivité et qui montre peu d'initiative. Préfère les activités solitaires ou avec quelques personnes connues, qui ne demandent pas d'investissement d'énergie, d'effort et d'organisation. A risque d'occuper un emploi en deçà de ses aptitudes</t>
  </si>
  <si>
    <t>Centrée sur les projets individuels : Personne qui préfère s'adonner de manière autonome à des activités de longue haleine qui lui permettront d'atteindre des objectifs personnels.</t>
  </si>
  <si>
    <t>Ttaditionnelle: Personne pour qui le bien-etre et l'harmonie entre les personnes et dans la société sont mieux préservés par le maintien de la tradition, des valeurs et des façons de faire en place. Le bien etre et l'harmonie ont préséance sur le progrés.</t>
  </si>
  <si>
    <t xml:space="preserve">Progressiste: Personne pour qui les progrès sociaux sont importants pour l'amélioration du bien etre des personnes. Les individus et la société peuvent etre amélirés par l'éducation, l'innovation et la coopération. Ouverture à la diversité d'idées, valeurs, de cultures, de croyances </t>
  </si>
  <si>
    <t>Conservatrice : personne pour qui le maintien de la tradition, des acquis, des valeurs, des croyances et des façons de faire ont préséance sur le bien etre et l'harmonie. Accepte de déplaire et d'imposer des façons de faire aux autres afin de maintenir les acquis et de faire en sorte que les choses continuent à fonctionner normalement</t>
  </si>
  <si>
    <t>Libre- penseuse: Personne ayant tendance à faire prévaloir les idées et le progrés au détriment du bien-etre des personnes et de l'harmonie. Accepte de déplaire à des gens pour faire place à la nouveauté, au progrès ou aux idées dans lesquelles elle croit</t>
  </si>
  <si>
    <t>Style d'apprentissage</t>
  </si>
  <si>
    <t>Apprenant pragmatique:Personne qui montre une approche pragmatique de l'apprentissage. La connaissance est un moyen en vue d'une fin et non une fin en soi. Fait ce qu'il faut pour acquérir les connaissances nécessaires afin d'atteindre un objectif ( de formation, professionnel,...etc) Aborde la connaissance avec conformisme, peu portée à avoir un recul critique sur ce qui est enseigné.</t>
  </si>
  <si>
    <t>Bon apprenant : Personne dont l'intérêt intellectuel et créatif du trait Ouverture conbiné à la volonté de réussite et à l'organisation du trait consciencieux produit le profil type du bon apprenant. Intérêt pour l'apprentissage .prend les moyens pour aller jusqu'au bout de ses intérets. capacité à prendre un recul critique face à ce qui luiest enseigné. forte probabilité et succès en formation</t>
  </si>
  <si>
    <t>Apprenant désengagé: Personne peu protée vers l'apprentissage et les études. Peu à l'aise en contexte scolaire. Les connaissances et la compréhension approfondie des choses l'intéressent peu.Se contraindre à l'effort requis pour apprendre lui est difficile. Plus à l'aise dans une formation courte et pratique débouchant sur des applications concrétes( ex: Formation professionnelle).</t>
  </si>
  <si>
    <t>Apprenant inconstant: Personne aux intérets intellectuels et / ou créatifs diversifiés, mais à risque de ne pas etre apprefondis par manque de détermination et d'organisation. L'apprentissage risque  de s'arreter alors que l'effort demandé pour le poursuivre augmente, ce qui peut donner lieu à l'acquisition de nombreuses connaissances superficielles sans approfondissement</t>
  </si>
  <si>
    <t>Collaboration avec autrui</t>
  </si>
  <si>
    <t>Bien intentionnée :Personne bien intentionnée, soucieuse du bein etre des gens avec qu'elle est en relation et de la bonne entente entre les collaborateurs. Peut avoir de la difficulté à assumer sa part de responsbilité dans le travail à faire et à donner une suite concrète à ses bonnes intentions.</t>
  </si>
  <si>
    <t>Dévouée : Personne engagée qui se dévoue au bien du groupe. Prete main-forte aux membres qui en on besoin et accepte de se charger de taches  ingrates ou ardues . A risuqe de faire plus que sa part du travail sans en recevoir le crédit.</t>
  </si>
  <si>
    <t>Désengagée : Personne peu engagée envers les objectifs du groupe et peu soucieuse des impacts que peut avoir son manque d'effort et de fiabilité sur ses collaborateurs.Peut etre portée à collaborer afin de tirer profit du travail des autres. Susceptible d'etre perçue comme une personne " profiteuse" ou un tire-au-flanc"</t>
  </si>
  <si>
    <t>Centrée sur la tache :Personne centrée sur la teche et les objectifs à accomplir. Les collaborations sont un moyen de faire avancer ses projets et d'atteindre ses objectifs . Considère que c'est à chacun de voir comment tirer parti du travail en équipe.plus à l'aise dans les contextes de compétition que de collaboration.</t>
  </si>
  <si>
    <t>Style interpersonnel</t>
  </si>
  <si>
    <t>Modeste : Personne qui n'est pas attirée par les situations sociales et les nouvelles recontres, sans que cela refléte un desintéret envers autui. Préfère entretenir un petit nombre de relations interpersonnelles significarives. Modeste et effacée en groupe.</t>
  </si>
  <si>
    <t>Individualiste : Personne indépendante, peu intéressée par les relations sociales. Se sent facilement dérangée par la présence d'autrui. Protége sa sphère personnelle et sa vie privée. Peut refléter une méfiance envers autrui. Peut etre perçue comme froide, distante et peu collabortive</t>
  </si>
  <si>
    <t>Gestion des dangers, du stress et des problèmes de la vie :</t>
  </si>
  <si>
    <t>Gestion des conflits et de la colère :</t>
  </si>
  <si>
    <t>Gestion des attentes et rapport au rendement :</t>
  </si>
  <si>
    <t>Style d'intérets :</t>
  </si>
  <si>
    <t>Style d'activités :</t>
  </si>
  <si>
    <t>Valeurs sociales :</t>
  </si>
  <si>
    <t>Style d'apprentissage :</t>
  </si>
  <si>
    <t>Collaboration avec autrui :</t>
  </si>
  <si>
    <t>Style interpersonnel :</t>
  </si>
  <si>
    <t xml:space="preserve">Leader chaleureux/pédagogique : Personne qui cherche activement à créer et à maintenir des relations personnelles avec les gens. Se lie sincèrement avec les autres. Met de la vie dans un groupe et se retrouve suvent en position de leader et d'initiateur d'activités communes. leader chaleureux et collaboratif.Aime le travail en équipe </t>
  </si>
  <si>
    <t xml:space="preserve">Leader égocentrique/à forte affirmation personnelle : Personne qui cherche activement les relations sociales pour les bénéfices et le plaisir que cela lui procure plutôt que par intérêt envers autrui. Tendance à nouer de nombreuses relations superficielles et utilitaires . Aime se mettre à l'avant-plan. Peut se presenter comme un leader autoritaire et peu à l'écoute de ses subordonnés </t>
  </si>
  <si>
    <t>Conclusion genérale de profil</t>
  </si>
  <si>
    <t>Gestion Analytique</t>
  </si>
  <si>
    <t>Gestion de projet</t>
  </si>
  <si>
    <t>Gestion de temps</t>
  </si>
  <si>
    <t>Gestion de conflit</t>
  </si>
  <si>
    <t>Gestion de d'équipe</t>
  </si>
  <si>
    <t>Gestion de stress</t>
  </si>
  <si>
    <t>Gestion d'organisation</t>
  </si>
  <si>
    <t>gestion de conflit</t>
  </si>
  <si>
    <t>Confidantialité</t>
  </si>
  <si>
    <t>Négociation</t>
  </si>
  <si>
    <t>Motivation</t>
  </si>
  <si>
    <t xml:space="preserve">Commentaires sur les interactions
</t>
  </si>
  <si>
    <t>CONSCIENCE</t>
  </si>
  <si>
    <t>AGREABILITE</t>
  </si>
  <si>
    <t>STABILITE EMOTIONNELLE</t>
  </si>
  <si>
    <t>OUVERTURE</t>
  </si>
  <si>
    <t>EXTRVERSION</t>
  </si>
  <si>
    <t>Recherche la réussite</t>
  </si>
  <si>
    <t>fiabilité</t>
  </si>
  <si>
    <t>Bienveillance</t>
  </si>
  <si>
    <t>Coopérativité</t>
  </si>
  <si>
    <t>Confiance en soi</t>
  </si>
  <si>
    <t>Contrôle des émotions</t>
  </si>
  <si>
    <t>Flexibilité intellectuelle</t>
  </si>
  <si>
    <t>Sens artistique</t>
  </si>
  <si>
    <t>Leadership</t>
  </si>
  <si>
    <t>Sociabilité</t>
  </si>
  <si>
    <t>a</t>
  </si>
  <si>
    <t>b</t>
  </si>
  <si>
    <t>B</t>
  </si>
  <si>
    <t>interprétation des scores aux échelles :</t>
  </si>
  <si>
    <t>Ouverture</t>
  </si>
  <si>
    <t>Flexibilité intellectuelle 31%     et  conformisme 69% le 1er l'interprétation a été comme suite :</t>
  </si>
  <si>
    <t>Cette personne affiche une certaine préférence pour les idée et activités concrétes, alors que les idée abstraites et théoriques l'intéressent moins. Elle s'intéressera davantage à une théorie ou à une nouvelle connaissnce lorsqu'elle en voit les applications pratiques. Elle préfére généralement les méthodes éprouvées plutoy que l'innovation. le dicton " si ce n'est pas brisé, ne le foctionne déjà et à augmenter sa maitrise de ses taches plutot qu'à tenter d'innover dans les façons de faire. Elle préfére generalement travailler à l'intéreur de sa zone de confort et de son champ de compétence plutot que d'avoir à s'adapter et à apprendre continuellement. cette personne peut etre inconfortable face aux changements. sur le plan des opinions et des valeurs, elle n'est pas particuliérement attirée par les échanges de points de vue divergents, mais cela ne signifie pas qu'elle croiy que ses idées sont supérieurs à celles des autres</t>
  </si>
  <si>
    <t>Cette personne présente un équilibre entre l'ouverture aux idées et activités concrètes et l'intérêt pour les idées abstraites et théoriques. Elle est capable de s'adapter aux nouvelles connaissances tout en restant attachée aux méthodes éprouvées. Elle est à l'aise à l'intérieur de sa zone de confort mais sait également sortir de celle-ci pour apprendre et s'adapter. Elle peut également être ouverte aux échanges de points de vue divergents tout en respectant les idées des autres.</t>
  </si>
  <si>
    <t xml:space="preserve"> Flexibilité intellectuelle est à 50% et le conformisme à 50%</t>
  </si>
  <si>
    <t xml:space="preserve"> Flexibilité intellectuelle est à 70% et le conformisme à 30%</t>
  </si>
  <si>
    <t>Cette personne est très ouverte aux idées nouvelles et aux changements. Elle est constamment en quête de connaissances et d'innovation, et n'hésite pas à sortir de sa zone de confort pour apprendre et expérimenter de nouvelles choses. Elle est ouverte aux différentes opinions et valeurs, et est prête à échanger et discuter avec les autres pour enrichir ses propres idées.</t>
  </si>
  <si>
    <t>Sens artistique 42% et pragmatisme 58%</t>
  </si>
  <si>
    <t>Cette personne se situe dans la moyenne sur la facette de la personnalité qui représente vers l'imagination, l'esthétique et l'intériorité.Bien qu"elle puisse faire preuve d'imagination et de créativité, il ne s'agit pas là de caractéristiques dominantes chez elle.Elle peut etre attentive à son monde intérieur, sans toutefois que l'analyse de ses émotions n'occupe une place importante dans son fonctionnement. Dans ses décisions, elle pourra etre à l'écoute de ses intuitions et sentiments, sans nécessairement s'y fier particuliérement. Bien qu'elle puisse s'intéresser à certaints arts ou avoir un intéret prononcé pour un art en particulier ( par exemple la musique), elle ne porte probalment qu'un intéret moyen envers les arts en général.</t>
  </si>
  <si>
    <t>Sens artistique est à 50% et le Pragmatisme à 50%</t>
  </si>
  <si>
    <t>Cette personne équilibrée entre l'imagination et la réalité. Elle pourrait avoir une certaine sensibilité artistique mais également une approche pratique et réaliste des choses. Elle pourrait être capable d'allier créativité et rationalité dans ses décisions et actions.</t>
  </si>
  <si>
    <t>Sens artistique est à 70% et le Pragmatisme à 30%</t>
  </si>
  <si>
    <t>Cette personne très orientée vers l'art, l'esthétisme et l'imagination. Elle pourrait avoir une sensibilité artistique plus développée et être plus encline à s'exprimer à travers des formes artistiques. Cela pourrait aussi signifier qu'elle accorde moins d'importance à la logique et à la réalité dans ses choix, privilégiant l'aspect créatif et esthétique.</t>
  </si>
  <si>
    <t>Le pragmatisme est souvent associé à la rationalité et à la logique, favorisant des décisions basées sur des faits concrets et des résultats tangibles. Dans ce cas, un individu préférant le pragmatisme à 80% serait plus enclin à prendre des décisions basées sur des données objectives et des analyses rationnelles plutôt que sur des intuitions ou des sentiments.
Cependant, le sens artistique à 20% pourrait permettre à cette personne de prendre en compte des aspects esthétiques, créatifs ou subjectifs dans ses décisions, apportant une certaine richesse et originalité à ses choix.En combinant ces deux aspects, cet individu pourrait donc faire preuve d'une approche équilibrée, mêlant rationalité et créativité pour parvenir à des solutions innovantes et efficaces. Il pourrait ainsi trouver un juste équilibre entre la recherche de résultats concrets et la prise en compte de critères esthétiques ou artistiques dans ses décisions.</t>
  </si>
  <si>
    <t>Consciencieux</t>
  </si>
  <si>
    <t xml:space="preserve">Recherche de réussite 50 % et Détachement 50% </t>
  </si>
  <si>
    <t>Cette personne se situe dans la moyenne sur la facette de la personnalité qui indique à quel point une personne est industrieuse ambitieuse , compétitive, Orientée vers la réussite, persévérante et fait preuve de discipline personnelle.La réussite est importante pour elle , mais elle ne sera généralement pas prete à faire de grands sacrifices pour y arriver, saud pour certains objectifs particulièrement importants pour elle. bien qu'elle ait un bon niveau d'engagement dans les taches qu'elle entreprend et qu'elle fasse généralement ce qu'il faut pour les mener à terme, elle pourra parfois se laisser distraire par des éléments externes ou etre découragée par des difficultés importantes. elle est capable de se voir confier des responsabilités et de prendre des choses en charge. Son sentiment d'efficacité personnelle se situe probablement dans la moyenne</t>
  </si>
  <si>
    <t>la Recherche de réussite   elle est à 70% et la Détachement a 30%</t>
  </si>
  <si>
    <t>cette personne est très motivée par la réussite et a tendance à être ambitieuse, compétitive et persévérante. Elle est prête à faire des sacrifices pour atteindre ses objectifs importants et est généralement engagée et disciplinée dans ses tâches. Cependant, elle peut parfois être légèrement distrait ou découragé par des difficultés.</t>
  </si>
  <si>
    <t>la Recherche de réussite   elle est à 30% et la  Détachement  a 70%</t>
  </si>
  <si>
    <t>cette personne a une attitude plus détachée par rapport à la réussite. Elle n'est pas particulièrement motivée par la compétition ou la recherche de succès, et elle peut être plus enclin à laisser aller les choses sans trop s'investir. Elle peut être moins disciplinée et motivée dans la poursuite de ses objectifs, et elle peut préférer une approche plus détendue et flexible face aux difficultés.</t>
  </si>
  <si>
    <t>Fiabilité 50 % et improvisation 50%</t>
  </si>
  <si>
    <t>Cette personne ne se démarque pas de la moyenne quant à ses niveaux de fiabilité, de ponctualité, d'organisation, de planification, de sens du devoir, d'attention au détail et de méticulosité . Elle aime un certain équilibre entre la souplesse et l'organisation et entre la spontanéité et la planification. Elle ne fait pas toujours tout ce qui est en son pouvoir pour respecter ses engagement, les régles et les protocoles.</t>
  </si>
  <si>
    <t xml:space="preserve">Fiabilité à 70% et improvisation à 30% : </t>
  </si>
  <si>
    <t>Cette personne a tendance à être plutôt fiable, ponctuelle et organisée. Elle accorde de l'importance à respecter ses engagements, les règles et les protocoles. Cependant, elle est également capable de faire preuve de souplesse et de spontanéité dans certaines situations.</t>
  </si>
  <si>
    <t>Fiabilité à 30% et improvisation à 70% :</t>
  </si>
  <si>
    <t>Cette personne privilégie la spontanéité, la flexibilité et l'improvisation. Elle n'accorde pas nécessairement autant d'importance à la fiabilité, la ponctualité et l'organisation. Elle peut être plus encline à suivre son intuition et à s'adapter aux circonstances plutôt que de respecter strictement les règles et les protocoles.</t>
  </si>
  <si>
    <t>Agréabilité</t>
  </si>
  <si>
    <t xml:space="preserve">Bienveillance 50 % et Individualisame 50%  </t>
  </si>
  <si>
    <t>Cette personne se site dans la moyenne sur les plans de l'altruisme, de la getillesse, de la bienveillance, de l'empathie et de la serviabilité.Tout comme la majorité des gens, elle sera généralement sympathique et avenante avec autrui, mais elle adaptera son comportement selon la manière dont on se comportera avec elle. Elle Sera disposée à aider et à donner de son temps aux personne avec qui elle a des relations amicals ( amie, collégues) et elle sera sensible à leurs besoins et à l'écoute de leur difficultés. Toutefois, elle pourra se montrer moins altruiste avec les personnes dont elle est moins proche et lorsque l'acte d'altruisme lui demanderait un efort ou un sacrifice personnel.</t>
  </si>
  <si>
    <t>la Fiabilité est à 70% et l'Improvisation à 30%</t>
  </si>
  <si>
    <t>la Fiabilité est à 30% et l'Improvisation à 70%</t>
  </si>
  <si>
    <t>cette personne est généralement très empathique, attentionnée et serviable envers les autres. Elle sera disposée à aider et à soutenir ses proches, et sera sensible à leurs besoins et leurs émotions. Cependant, elle pourra parfois se montrer un peu plus individualiste, privilégiant ses propres intérêts et besoins avant ceux des autres dans certaines situations.</t>
  </si>
  <si>
    <t xml:space="preserve"> cette personne accorde plus d'importance à ses propres intérêts et besoins qu'à ceux des autres. Elle peut être moins empathique, attentionnée et serviable envers les autres, et favoriser son individualisme plutôt que la bienveillance et le soutien envers autrui. Elle pourrait avoir tendance à agir de manière plus égocentrique et moins enclin à s'investir émotionnellement dans les relations interpersonnelles.</t>
  </si>
  <si>
    <t>Coopérativité 50 % et Confrontation 50%</t>
  </si>
  <si>
    <t>Cette personne préfére agir de façon à maintenir la cohésion sociale et à éviter les querelles et la confrontation, mais elle pourra également s'affirmer et se défendre lorsque nécessaire. Elle pardonne facilement les offenses mineures qui lui sont faites, mais réagit différemment selon la gravité de l'offense. Bien que la bonne entente et la cohésion sociale soient importantes pour elle, elle n'ira pas jusqu'à accepter d'etre blamée pour quelque chose dont elle n'est pas responsable . elle se situe dans la moyenne quant à ses niveaux de modestie et d'humilité. Elle travaille gébéralement bien sous la supervision d'une autre personne et est respectueuse de l'autorité, mais elle saura imposer sas limites et ne se laissera pas maltraiter par un supérieur injuste ou méchant. sur le plan décisionnel, elle préfère généralement consulter autrui avant de prendre une décision importante.</t>
  </si>
  <si>
    <t>la Coopérativité est à 70% et la Confrontation à 30%</t>
  </si>
  <si>
    <t>Cette personne privilégie la coopération et le travail en équipe, cherchant à maintenir de bonnes relations avec les autres et à éviter les conflits. Elle est généralement prête à faire des compromis pour préserver l'harmonie sociale, mais peut également faire preuve de fermeté lorsque cela est nécessaire. Elle est capable de défendre ses idées et ses valeurs, mais cherche avant tout à trouver des solutions pacifiques aux problèmes rencontrés. Elle peut être perçue comme conciliante et adaptable, prête à écouter les avis des autres et à travailler ensemble pour atteindre un objectif commun.</t>
  </si>
  <si>
    <t> la Coopérativité est à 30% et la Confrontation à 70%,</t>
  </si>
  <si>
    <t>Cette personne a tendance à être plus directe et assertive dans ses interactions avec les autres, n'hésitant pas à exprimer clairement ses opinions et à défendre ses points de vue. Elle peut être perçue comme plus confrontante et ferme dans ses relations interpersonnelles, ne craignant pas de prendre des positions tranchées et de s'affirmer face à l'adversité. Elle est moins encline à chercher le compromis et privilégie plutôt une approche plus directe et franche dans la résolution des conflits. Elle a une plus grande confiance en ses propres capacités et tend à prendre des décisions de manière autonome, sans nécessairement consulter les autres de manière systématique.</t>
  </si>
  <si>
    <t xml:space="preserve">Leadership 50 % et Suiveur 50% </t>
  </si>
  <si>
    <t>Cette personne se situe dans la moyenne quant à sa tendance à exercer du leadership à s'affiemer et à initier. bien qu'elle puisse faire preuve d'initiarive et de ledership dans certaines situations, il ne s'agit pas là d'une caractéristique distinctive chez elle. Elle se situe également dans la moyenne qunt à don désir d'exercer de l'autorité, d'influencer et d'amener les gens à travailler ensemble et à embarquer dans ses projets</t>
  </si>
  <si>
    <t xml:space="preserve"> leadership est à 70% et la suiveur a 30%</t>
  </si>
  <si>
    <t>Cette personne a une tendance plus marquée à exercer du leadership, à prendre des initiatives et à influencer les autres. Elle est plus encline à diriger et à prendre les devants dans les situations de groupe.</t>
  </si>
  <si>
    <t>leadership est à 30% et la suiveur a 70%</t>
  </si>
  <si>
    <t>Cette personne est davantage encline à suivre le leadership des autres et à s'adapter aux décisions et initiatives des leaders. Elle préfère souvent se fondre dans le groupe et épouser les idées et directions des autres. Son désir d'exercer de l'autorité et d'influencer est moins prononcé</t>
  </si>
  <si>
    <t>Sociabilité 62% et réserve sociale 38%</t>
  </si>
  <si>
    <t>Cette personne se situe dans la moyenne en termes de sociabilité, de grégarité et de propension à vivre des émotions positives. Elle est généralement à l'aise de rencontrer de nouvelle personne et d'établir de nouveaux contacts, sans toutefois rechercher activement les nouvelle rencontres. Elle peut apprécier etre en situation sociale, mais elle apprécie également etre seule. elle préférera probablement un équilibre entre le travail d'équipe et les taches individuelles . ses niveaux d'energie et d'enthousiasme s'adaptent généralement à la dynamique du groupe ou de son équipe de travail.</t>
  </si>
  <si>
    <t xml:space="preserve"> Sociabilité est à 50% et la Réserve a 50%</t>
  </si>
  <si>
    <t>Cette personne présente un équilibre entre sociabilité et réserve sociale. Elle peut être à l'aise dans des situations sociales mais également apprécier des moments de solitude. Elle peut facilement s'adapter à différents environnements sociaux et préférer des interactions variées, tout en ayant besoin de moments de calme et d'introspection.</t>
  </si>
  <si>
    <t>la Sociabilité est à 30% et la réserve a 70%</t>
  </si>
  <si>
    <t xml:space="preserve"> Cette personne tend à être plus réservée socialement et à préférer des interactions plus restreintes. Elle peut trouver des situations sociales plus difficiles ou épuisantes, et avoir besoin de plus de temps pour se sentir à l'aise dans des nouveaux environnements. Elle privilégie probablement des interactions plus profondes et significatives avec des personnes proches plutôt que des interactions superficielles et nombreuses.</t>
  </si>
  <si>
    <t>Stabilité émotionnelle</t>
  </si>
  <si>
    <t xml:space="preserve">Controle des émotions  66% et Instabilité émotionnelle 34% </t>
  </si>
  <si>
    <t>Cette personne se situe dans la moyenne quant à sa propension à ressentir des émotions négatives extériorisées telles que la colére et la frustration, ainsi que qunt à sa capacité çà gérer ces émotions lorsqu"elles surviennent. Il lui arrive de se mettre en colére et elle peut etre iritée par certains événements et par certains comportements d'autrui. son niveau de sensibilité à la critique se situe également dans la moyenne; elle pourra bien recevoir les critiques justes mais pourra etre frustrée par les critiques avec lesquelles elle est en désaccord. Elle pourra parfois avoir de la difficulté à garder son calme lorsqu'elle est sous pression ou dans des situations d'urgence. elle réagit impulsivement à certaines occsions, en particulier sous le coup de l'émotion. Elle est capable de retarder la satisfaction de ses désirs, mais il lui arrive de faire preuve d'impatience et de céder à la tentation</t>
  </si>
  <si>
    <t>cette personne a une forte capacité à gérer ses émotions et à maintenir son calme face à des situations stressantes. Elle est capable de prendre du recul et de réfléchir avant de réagir de manière impulsif. Elle est également moins sensible aux critiques et peut les prendre de manière constructive.</t>
  </si>
  <si>
    <t>Controle des émotions  est à 30% et Instabilité émotionnelle  a 70%</t>
  </si>
  <si>
    <t>cette personne a plus de difficultés à gérer ses émotions. Elle peut être plus sujette à ressentir des émotions négatives et à avoir des réactions impulsives. Elle peut également être plus sensible aux critiques et avoir du mal à contrôler ses réactions face à celles-ci. Il est possible qu'elle ait besoin de travailler sur ses compétences émotionnelles pour mieux gérer ses émotions.</t>
  </si>
  <si>
    <t xml:space="preserve">Confiance en soi  84% et fragilité 16% </t>
  </si>
  <si>
    <t xml:space="preserve"> Confiance en soi  est à 50% et fragilité  50%</t>
  </si>
  <si>
    <t>cette personne se situe dans la moyenne en termes de confiance en soi et de fragilité émotionnelle. Elle peut avoir des moments où elle se sent sûre d'elle et confiante, mais aussi des moments où elle doute d'elle-même et se sent vulnérable. Elle peut faire preuve de résilience face aux défis et aux critiques, mais aussi être affectée négativement par des situations stressantes. Elle peut parfois être influencée par l'opinion des autres et avoir besoin de validation externe pour se sentir bien dans sa peau.</t>
  </si>
  <si>
    <t>Confiance en soi 16% et fragilité   a 84%</t>
  </si>
  <si>
    <t xml:space="preserve"> cette personne a une faible confiance en elle et se sent généralement fragile émotionnellement. Elle peut avoir du mal à croire en ses capacités et à se mettre en avant, ce qui peut la rendre plus sensible aux critiques et aux situations stressantes. Elle peut avoir tendance à se sous-estimer et à se laisser influencer négativement par les opinions des autres. Elle pourrait bénéficier d'un soutien et d'une validation pour renforcer sa confiance en elle et surmonter sa fragilité émotionnelle.</t>
  </si>
  <si>
    <t>Score</t>
  </si>
  <si>
    <t>Sociabilite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</si>
</sst>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1"/>
      <name val="Calibri"/>
      <family val="2"/>
      <scheme val="minor"/>
    </font>
    <font>
      <sz val="11"/>
      <color theme="0"/>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sz val="14"/>
      <color theme="1"/>
      <name val="Calibri"/>
      <family val="2"/>
      <scheme val="minor"/>
    </font>
    <font>
      <sz val="16"/>
      <color theme="1"/>
      <name val="Calibri"/>
      <family val="2"/>
      <scheme val="minor"/>
    </font>
    <font>
      <sz val="14"/>
      <color theme="1"/>
      <name val="Calibri"/>
      <family val="2"/>
      <scheme val="minor"/>
    </font>
    <font>
      <sz val="18"/>
      <color theme="4" tint="-0.499984740745262"/>
      <name val="Calibri"/>
      <family val="2"/>
      <scheme val="minor"/>
    </font>
    <font>
      <b/>
      <sz val="12"/>
      <color theme="1"/>
      <name val="Calibri"/>
      <family val="2"/>
      <scheme val="minor"/>
    </font>
    <font>
      <b/>
      <sz val="11"/>
      <color theme="1"/>
      <name val="Arial"/>
      <family val="2"/>
    </font>
    <font>
      <b/>
      <sz val="14"/>
      <color theme="1"/>
      <name val="Arial"/>
      <family val="2"/>
    </font>
    <font>
      <sz val="11"/>
      <color rgb="FFFFFF00"/>
      <name val="Calibri"/>
      <family val="2"/>
      <scheme val="minor"/>
    </font>
    <font>
      <sz val="11"/>
      <color rgb="FF92D050"/>
      <name val="Calibri"/>
      <family val="2"/>
      <scheme val="minor"/>
    </font>
    <font>
      <sz val="11"/>
      <color rgb="FF0070C0"/>
      <name val="Calibri"/>
      <family val="2"/>
      <scheme val="minor"/>
    </font>
    <font>
      <b/>
      <sz val="18"/>
      <color rgb="FF92D050"/>
      <name val="Calibri"/>
      <family val="2"/>
      <scheme val="minor"/>
    </font>
    <font>
      <b/>
      <sz val="16"/>
      <color theme="1"/>
      <name val="Calibri"/>
      <family val="2"/>
      <scheme val="minor"/>
    </font>
    <font>
      <b/>
      <sz val="11"/>
      <color rgb="FF000000"/>
      <name val="Calibri"/>
      <family val="2"/>
      <scheme val="minor"/>
    </font>
    <font>
      <b/>
      <sz val="11"/>
      <color rgb="FF000000"/>
      <name val="Calibri"/>
      <family val="2"/>
    </font>
    <font>
      <sz val="9"/>
      <color indexed="81"/>
      <name val="Tahoma"/>
      <family val="2"/>
    </font>
    <font>
      <b/>
      <sz val="9"/>
      <color indexed="81"/>
      <name val="Tahoma"/>
      <family val="2"/>
    </font>
    <font>
      <sz val="12"/>
      <color theme="1"/>
      <name val="Calibri"/>
      <family val="2"/>
      <scheme val="minor"/>
    </font>
    <font>
      <b/>
      <sz val="14"/>
      <color rgb="FF00B050"/>
      <name val="Calibri"/>
      <family val="2"/>
      <scheme val="minor"/>
    </font>
  </fonts>
  <fills count="30">
    <fill>
      <patternFill patternType="none"/>
    </fill>
    <fill>
      <patternFill patternType="gray125"/>
    </fill>
    <fill>
      <patternFill patternType="solid">
        <fgColor rgb="FF00B050"/>
        <bgColor indexed="64"/>
      </patternFill>
    </fill>
    <fill>
      <patternFill patternType="solid">
        <fgColor rgb="FF00FFFF"/>
        <bgColor indexed="64"/>
      </patternFill>
    </fill>
    <fill>
      <patternFill patternType="solid">
        <fgColor rgb="FF00CCFF"/>
        <bgColor indexed="64"/>
      </patternFill>
    </fill>
    <fill>
      <patternFill patternType="solid">
        <fgColor rgb="FF99CCFF"/>
        <bgColor indexed="64"/>
      </patternFill>
    </fill>
    <fill>
      <patternFill patternType="solid">
        <fgColor rgb="FFFF3399"/>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1"/>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rgb="FFFFC000"/>
        <bgColor indexed="64"/>
      </patternFill>
    </fill>
    <fill>
      <patternFill patternType="solid">
        <fgColor rgb="FF92D050"/>
        <bgColor indexed="64"/>
      </patternFill>
    </fill>
    <fill>
      <patternFill patternType="solid">
        <fgColor rgb="FF0070C0"/>
        <bgColor indexed="64"/>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rgb="FF00B0F0"/>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3" tint="-0.249977111117893"/>
        <bgColor indexed="64"/>
      </patternFill>
    </fill>
    <fill>
      <patternFill patternType="solid">
        <fgColor rgb="FF002060"/>
        <bgColor indexed="64"/>
      </patternFill>
    </fill>
    <fill>
      <patternFill patternType="solid">
        <fgColor rgb="FF7030A0"/>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top/>
      <bottom style="thin">
        <color indexed="64"/>
      </bottom>
      <diagonal/>
    </border>
  </borders>
  <cellStyleXfs count="1">
    <xf numFmtId="0" fontId="0" fillId="0" borderId="0"/>
  </cellStyleXfs>
  <cellXfs count="393">
    <xf numFmtId="0" fontId="0" fillId="0" borderId="0" xfId="0"/>
    <xf numFmtId="0" fontId="0" fillId="0" borderId="1" xfId="0" applyBorder="1"/>
    <xf numFmtId="0" fontId="0" fillId="0" borderId="0" xfId="0" applyAlignment="1">
      <alignment horizontal="center"/>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2" fillId="0" borderId="0" xfId="0" applyFont="1"/>
    <xf numFmtId="0" fontId="0" fillId="7" borderId="1" xfId="0" applyFill="1" applyBorder="1"/>
    <xf numFmtId="0" fontId="0" fillId="8" borderId="1" xfId="0" applyFill="1" applyBorder="1"/>
    <xf numFmtId="0" fontId="0" fillId="9" borderId="1" xfId="0" applyFill="1" applyBorder="1"/>
    <xf numFmtId="0" fontId="0" fillId="11" borderId="1" xfId="0" applyFill="1" applyBorder="1"/>
    <xf numFmtId="0" fontId="0" fillId="12" borderId="1" xfId="0" applyFill="1" applyBorder="1"/>
    <xf numFmtId="0" fontId="0" fillId="0" borderId="1" xfId="0" applyBorder="1" applyAlignment="1">
      <alignment textRotation="90"/>
    </xf>
    <xf numFmtId="0" fontId="0" fillId="7" borderId="1" xfId="0" applyFill="1" applyBorder="1" applyAlignment="1">
      <alignment textRotation="90"/>
    </xf>
    <xf numFmtId="0" fontId="0" fillId="9" borderId="1" xfId="0" applyFill="1" applyBorder="1" applyAlignment="1">
      <alignment textRotation="90"/>
    </xf>
    <xf numFmtId="0" fontId="0" fillId="8" borderId="1" xfId="0" applyFill="1" applyBorder="1" applyAlignment="1">
      <alignment textRotation="90"/>
    </xf>
    <xf numFmtId="0" fontId="0" fillId="11" borderId="1" xfId="0" applyFill="1" applyBorder="1" applyAlignment="1">
      <alignment textRotation="90"/>
    </xf>
    <xf numFmtId="0" fontId="0" fillId="10" borderId="1" xfId="0" applyFill="1" applyBorder="1" applyAlignment="1">
      <alignment textRotation="90"/>
    </xf>
    <xf numFmtId="0" fontId="2" fillId="13" borderId="0" xfId="0" applyFont="1" applyFill="1"/>
    <xf numFmtId="0" fontId="2" fillId="13" borderId="2" xfId="0" applyFont="1" applyFill="1" applyBorder="1"/>
    <xf numFmtId="0" fontId="2" fillId="13" borderId="1" xfId="0" applyFont="1" applyFill="1" applyBorder="1"/>
    <xf numFmtId="0" fontId="2" fillId="13" borderId="1" xfId="0" applyFont="1" applyFill="1" applyBorder="1" applyAlignment="1">
      <alignment horizontal="center"/>
    </xf>
    <xf numFmtId="0" fontId="3" fillId="13" borderId="1" xfId="0" applyFont="1" applyFill="1" applyBorder="1" applyAlignment="1">
      <alignment horizontal="center"/>
    </xf>
    <xf numFmtId="0" fontId="2" fillId="13" borderId="0" xfId="0" applyFont="1" applyFill="1" applyAlignment="1">
      <alignment horizontal="center"/>
    </xf>
    <xf numFmtId="0" fontId="3" fillId="13" borderId="1" xfId="0" applyFont="1" applyFill="1" applyBorder="1"/>
    <xf numFmtId="0" fontId="3" fillId="13" borderId="1" xfId="0" applyFont="1" applyFill="1" applyBorder="1" applyAlignment="1">
      <alignment wrapText="1"/>
    </xf>
    <xf numFmtId="0" fontId="3" fillId="13" borderId="0" xfId="0" applyFont="1" applyFill="1"/>
    <xf numFmtId="0" fontId="2" fillId="13" borderId="1" xfId="0" applyFont="1" applyFill="1" applyBorder="1" applyAlignment="1">
      <alignment vertical="center"/>
    </xf>
    <xf numFmtId="0" fontId="3" fillId="13" borderId="0" xfId="0" applyFont="1" applyFill="1" applyAlignment="1">
      <alignment wrapText="1"/>
    </xf>
    <xf numFmtId="0" fontId="2" fillId="13" borderId="1" xfId="0" applyFont="1" applyFill="1" applyBorder="1" applyAlignment="1">
      <alignment wrapText="1"/>
    </xf>
    <xf numFmtId="0" fontId="2" fillId="13" borderId="1" xfId="0" applyFont="1" applyFill="1" applyBorder="1" applyAlignment="1">
      <alignment horizontal="right" vertical="center"/>
    </xf>
    <xf numFmtId="0" fontId="0" fillId="0" borderId="0" xfId="0" applyAlignment="1">
      <alignment vertical="center"/>
    </xf>
    <xf numFmtId="0" fontId="0" fillId="0" borderId="1" xfId="0" applyBorder="1" applyAlignment="1">
      <alignment horizontal="center" vertical="center"/>
    </xf>
    <xf numFmtId="0" fontId="1" fillId="7" borderId="1" xfId="0" applyFont="1" applyFill="1" applyBorder="1"/>
    <xf numFmtId="0" fontId="1" fillId="8" borderId="1" xfId="0" applyFont="1" applyFill="1" applyBorder="1"/>
    <xf numFmtId="0" fontId="1" fillId="9" borderId="1" xfId="0" applyFont="1" applyFill="1" applyBorder="1"/>
    <xf numFmtId="0" fontId="1" fillId="11" borderId="1" xfId="0" applyFont="1" applyFill="1" applyBorder="1"/>
    <xf numFmtId="0" fontId="1" fillId="12" borderId="1" xfId="0" applyFont="1" applyFill="1" applyBorder="1"/>
    <xf numFmtId="0" fontId="0" fillId="0" borderId="1" xfId="0" applyBorder="1" applyAlignment="1">
      <alignment wrapText="1"/>
    </xf>
    <xf numFmtId="0" fontId="5" fillId="0" borderId="1" xfId="0" applyFont="1" applyBorder="1"/>
    <xf numFmtId="0" fontId="4" fillId="0" borderId="1" xfId="0" applyFont="1" applyBorder="1"/>
    <xf numFmtId="0" fontId="0" fillId="14" borderId="1" xfId="0" applyFill="1" applyBorder="1"/>
    <xf numFmtId="0" fontId="3" fillId="13" borderId="0" xfId="0" applyFont="1" applyFill="1" applyAlignment="1">
      <alignment vertical="center" wrapText="1"/>
    </xf>
    <xf numFmtId="0" fontId="1" fillId="0" borderId="0" xfId="0" applyFont="1"/>
    <xf numFmtId="0" fontId="0" fillId="0" borderId="0" xfId="0" applyBorder="1" applyAlignment="1">
      <alignment vertical="center" wrapText="1"/>
    </xf>
    <xf numFmtId="0" fontId="1" fillId="0" borderId="0" xfId="0" applyFont="1" applyBorder="1" applyAlignment="1"/>
    <xf numFmtId="0" fontId="1" fillId="0" borderId="0" xfId="0" applyFont="1" applyBorder="1"/>
    <xf numFmtId="0" fontId="0" fillId="0" borderId="0" xfId="0" applyAlignment="1"/>
    <xf numFmtId="0" fontId="0" fillId="0" borderId="0" xfId="0" applyAlignment="1">
      <alignment horizontal="center" vertical="center"/>
    </xf>
    <xf numFmtId="0" fontId="0" fillId="0" borderId="0" xfId="0" applyFill="1" applyBorder="1" applyAlignment="1"/>
    <xf numFmtId="0" fontId="1" fillId="0" borderId="0" xfId="0" applyFont="1" applyBorder="1" applyAlignment="1">
      <alignment horizontal="center"/>
    </xf>
    <xf numFmtId="0" fontId="6" fillId="0" borderId="0" xfId="0" applyFont="1"/>
    <xf numFmtId="0" fontId="6" fillId="0" borderId="0" xfId="0" applyFont="1" applyAlignment="1"/>
    <xf numFmtId="0" fontId="0" fillId="0" borderId="0" xfId="0" applyAlignment="1">
      <alignment wrapText="1"/>
    </xf>
    <xf numFmtId="0" fontId="0" fillId="0" borderId="0" xfId="0" applyFill="1"/>
    <xf numFmtId="0" fontId="0" fillId="0" borderId="1" xfId="0" applyFill="1" applyBorder="1"/>
    <xf numFmtId="0" fontId="0" fillId="0" borderId="0" xfId="0" applyBorder="1"/>
    <xf numFmtId="2" fontId="0" fillId="0" borderId="0" xfId="0" applyNumberFormat="1"/>
    <xf numFmtId="0" fontId="0" fillId="20" borderId="0" xfId="0" applyFill="1" applyAlignment="1">
      <alignment horizontal="center"/>
    </xf>
    <xf numFmtId="2" fontId="0" fillId="0" borderId="0" xfId="0" applyNumberFormat="1" applyBorder="1" applyAlignment="1">
      <alignment horizontal="right"/>
    </xf>
    <xf numFmtId="0" fontId="0" fillId="0" borderId="3" xfId="0" applyBorder="1"/>
    <xf numFmtId="0" fontId="0" fillId="0" borderId="21" xfId="0" applyBorder="1"/>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29" xfId="0" applyFont="1" applyBorder="1" applyAlignment="1">
      <alignment horizontal="center"/>
    </xf>
    <xf numFmtId="0" fontId="1" fillId="0" borderId="30" xfId="0" applyFont="1" applyBorder="1" applyAlignment="1">
      <alignment horizontal="center"/>
    </xf>
    <xf numFmtId="0" fontId="1" fillId="0" borderId="32" xfId="0" applyFont="1" applyBorder="1" applyAlignment="1">
      <alignment horizontal="center"/>
    </xf>
    <xf numFmtId="0" fontId="0" fillId="17" borderId="22" xfId="0" applyFill="1" applyBorder="1"/>
    <xf numFmtId="0" fontId="0" fillId="17" borderId="23" xfId="0" applyFill="1" applyBorder="1"/>
    <xf numFmtId="0" fontId="0" fillId="17" borderId="24" xfId="0" applyFill="1" applyBorder="1"/>
    <xf numFmtId="0" fontId="0" fillId="17" borderId="25" xfId="0" applyFill="1" applyBorder="1"/>
    <xf numFmtId="0" fontId="0" fillId="17" borderId="26" xfId="0" applyFill="1" applyBorder="1"/>
    <xf numFmtId="0" fontId="0" fillId="17" borderId="27" xfId="0" applyFill="1" applyBorder="1"/>
    <xf numFmtId="0" fontId="0" fillId="17" borderId="33" xfId="0" applyFill="1" applyBorder="1"/>
    <xf numFmtId="0" fontId="0" fillId="23" borderId="20" xfId="0" applyFill="1" applyBorder="1"/>
    <xf numFmtId="0" fontId="0" fillId="23" borderId="1" xfId="0" applyFill="1" applyBorder="1"/>
    <xf numFmtId="0" fontId="10" fillId="0" borderId="0" xfId="0" applyFont="1"/>
    <xf numFmtId="0" fontId="0" fillId="3" borderId="20" xfId="0" applyFill="1" applyBorder="1"/>
    <xf numFmtId="0" fontId="0" fillId="3" borderId="1" xfId="0" applyFill="1" applyBorder="1"/>
    <xf numFmtId="0" fontId="0" fillId="6" borderId="20" xfId="0" applyFill="1" applyBorder="1"/>
    <xf numFmtId="0" fontId="0" fillId="6" borderId="1" xfId="0" applyFill="1" applyBorder="1"/>
    <xf numFmtId="0" fontId="0" fillId="6" borderId="3" xfId="0" applyFill="1" applyBorder="1"/>
    <xf numFmtId="0" fontId="0" fillId="6" borderId="21" xfId="0" applyFill="1" applyBorder="1"/>
    <xf numFmtId="0" fontId="0" fillId="24" borderId="20" xfId="0" applyFill="1" applyBorder="1"/>
    <xf numFmtId="0" fontId="0" fillId="24" borderId="1" xfId="0" applyFill="1" applyBorder="1"/>
    <xf numFmtId="0" fontId="0" fillId="24" borderId="3" xfId="0" applyFill="1" applyBorder="1"/>
    <xf numFmtId="0" fontId="0" fillId="16" borderId="20" xfId="0" applyFill="1" applyBorder="1"/>
    <xf numFmtId="0" fontId="0" fillId="16" borderId="1" xfId="0" applyFill="1" applyBorder="1"/>
    <xf numFmtId="0" fontId="0" fillId="19" borderId="20" xfId="0" applyFill="1" applyBorder="1"/>
    <xf numFmtId="0" fontId="0" fillId="19" borderId="1" xfId="0" applyFill="1" applyBorder="1"/>
    <xf numFmtId="0" fontId="0" fillId="25" borderId="20" xfId="0" applyFill="1" applyBorder="1"/>
    <xf numFmtId="0" fontId="0" fillId="25" borderId="1" xfId="0" applyFill="1" applyBorder="1"/>
    <xf numFmtId="0" fontId="0" fillId="16" borderId="3" xfId="0" applyFill="1" applyBorder="1"/>
    <xf numFmtId="0" fontId="0" fillId="26" borderId="20" xfId="0" applyFill="1" applyBorder="1"/>
    <xf numFmtId="0" fontId="0" fillId="26" borderId="1" xfId="0" applyFill="1" applyBorder="1"/>
    <xf numFmtId="0" fontId="0" fillId="15" borderId="27" xfId="0" applyFill="1" applyBorder="1"/>
    <xf numFmtId="0" fontId="0" fillId="15" borderId="28" xfId="0" applyFill="1" applyBorder="1"/>
    <xf numFmtId="0" fontId="0" fillId="4" borderId="34" xfId="0" applyFill="1" applyBorder="1"/>
    <xf numFmtId="0" fontId="0" fillId="4" borderId="35" xfId="0" applyFill="1" applyBorder="1"/>
    <xf numFmtId="0" fontId="0" fillId="0" borderId="36" xfId="0" applyBorder="1"/>
    <xf numFmtId="0" fontId="0" fillId="0" borderId="35" xfId="0" applyBorder="1"/>
    <xf numFmtId="0" fontId="0" fillId="0" borderId="37" xfId="0" applyBorder="1"/>
    <xf numFmtId="0" fontId="0" fillId="17" borderId="38" xfId="0" applyFill="1" applyBorder="1"/>
    <xf numFmtId="0" fontId="0" fillId="23" borderId="5" xfId="0" applyFill="1" applyBorder="1"/>
    <xf numFmtId="0" fontId="0" fillId="3" borderId="5" xfId="0" applyFill="1" applyBorder="1"/>
    <xf numFmtId="0" fontId="0" fillId="26" borderId="5" xfId="0" applyFill="1" applyBorder="1"/>
    <xf numFmtId="0" fontId="0" fillId="24" borderId="5" xfId="0" applyFill="1" applyBorder="1"/>
    <xf numFmtId="0" fontId="0" fillId="6" borderId="5" xfId="0" applyFill="1" applyBorder="1"/>
    <xf numFmtId="0" fontId="0" fillId="16" borderId="5" xfId="0" applyFill="1" applyBorder="1"/>
    <xf numFmtId="0" fontId="0" fillId="19" borderId="5" xfId="0" applyFill="1" applyBorder="1"/>
    <xf numFmtId="0" fontId="0" fillId="25" borderId="5" xfId="0" applyFill="1" applyBorder="1"/>
    <xf numFmtId="0" fontId="0" fillId="4" borderId="39" xfId="0" applyFill="1" applyBorder="1"/>
    <xf numFmtId="0" fontId="0" fillId="0" borderId="5" xfId="0" applyFill="1" applyBorder="1"/>
    <xf numFmtId="0" fontId="0" fillId="0" borderId="5" xfId="0" applyBorder="1"/>
    <xf numFmtId="0" fontId="1" fillId="0" borderId="9" xfId="0" applyFont="1" applyBorder="1" applyAlignment="1">
      <alignment horizontal="center"/>
    </xf>
    <xf numFmtId="0" fontId="1" fillId="10" borderId="41" xfId="0" applyFont="1" applyFill="1" applyBorder="1" applyAlignment="1">
      <alignment horizontal="center" vertical="center"/>
    </xf>
    <xf numFmtId="0" fontId="1" fillId="21" borderId="41" xfId="0" applyFont="1" applyFill="1" applyBorder="1" applyAlignment="1">
      <alignment horizontal="center" vertical="center"/>
    </xf>
    <xf numFmtId="0" fontId="1" fillId="22" borderId="41" xfId="0" applyFont="1" applyFill="1" applyBorder="1" applyAlignment="1">
      <alignment horizontal="center" vertical="center"/>
    </xf>
    <xf numFmtId="0" fontId="18" fillId="22" borderId="41" xfId="0" applyFont="1" applyFill="1" applyBorder="1" applyAlignment="1">
      <alignment horizontal="center" vertical="center"/>
    </xf>
    <xf numFmtId="0" fontId="19" fillId="22" borderId="41" xfId="0" applyFont="1" applyFill="1" applyBorder="1" applyAlignment="1">
      <alignment horizontal="center" vertical="center"/>
    </xf>
    <xf numFmtId="0" fontId="1" fillId="21" borderId="40" xfId="0" applyFont="1" applyFill="1" applyBorder="1" applyAlignment="1">
      <alignment horizontal="center" vertical="center"/>
    </xf>
    <xf numFmtId="0" fontId="1" fillId="0" borderId="41" xfId="0" applyFont="1" applyFill="1" applyBorder="1" applyAlignment="1">
      <alignment horizontal="center" vertical="center"/>
    </xf>
    <xf numFmtId="0" fontId="1" fillId="0" borderId="41" xfId="0" applyFont="1" applyBorder="1" applyAlignment="1">
      <alignment horizontal="center" vertical="center"/>
    </xf>
    <xf numFmtId="0" fontId="1" fillId="0" borderId="42" xfId="0" applyFont="1" applyBorder="1" applyAlignment="1">
      <alignment horizontal="center" vertical="center"/>
    </xf>
    <xf numFmtId="0" fontId="0" fillId="2" borderId="1" xfId="0" applyFill="1" applyBorder="1"/>
    <xf numFmtId="0" fontId="0" fillId="27" borderId="1" xfId="0" applyFill="1" applyBorder="1"/>
    <xf numFmtId="0" fontId="0" fillId="28" borderId="1" xfId="0" applyFill="1" applyBorder="1"/>
    <xf numFmtId="0" fontId="0" fillId="29" borderId="1" xfId="0" applyFill="1" applyBorder="1"/>
    <xf numFmtId="0" fontId="10" fillId="0" borderId="0" xfId="0" applyFont="1" applyAlignment="1">
      <alignment vertical="center"/>
    </xf>
    <xf numFmtId="0" fontId="2" fillId="20" borderId="0" xfId="0" applyFont="1" applyFill="1"/>
    <xf numFmtId="0" fontId="1" fillId="0" borderId="0" xfId="0" applyFont="1" applyAlignment="1">
      <alignment horizontal="center"/>
    </xf>
    <xf numFmtId="0" fontId="0" fillId="0" borderId="0" xfId="0" applyAlignment="1">
      <alignment horizontal="center"/>
    </xf>
    <xf numFmtId="0" fontId="0" fillId="0" borderId="1" xfId="0" applyBorder="1" applyAlignment="1">
      <alignment vertical="center"/>
    </xf>
    <xf numFmtId="0" fontId="1" fillId="0" borderId="0" xfId="0" applyFont="1" applyAlignment="1">
      <alignment vertical="center" wrapText="1"/>
    </xf>
    <xf numFmtId="0" fontId="0" fillId="0" borderId="0" xfId="0" applyAlignment="1">
      <alignment vertical="center" wrapText="1"/>
    </xf>
    <xf numFmtId="0" fontId="22" fillId="0" borderId="0" xfId="0" applyFont="1" applyAlignment="1">
      <alignment vertical="center" wrapText="1"/>
    </xf>
    <xf numFmtId="0" fontId="1" fillId="0" borderId="0" xfId="0" applyFont="1" applyAlignment="1"/>
    <xf numFmtId="0" fontId="10" fillId="0" borderId="0" xfId="0" applyFont="1" applyAlignment="1"/>
    <xf numFmtId="0" fontId="6" fillId="0" borderId="0" xfId="0" applyFont="1" applyAlignment="1">
      <alignment vertical="center"/>
    </xf>
    <xf numFmtId="0" fontId="0" fillId="21" borderId="0" xfId="0" applyFill="1"/>
    <xf numFmtId="0" fontId="23" fillId="0" borderId="0" xfId="0" applyFont="1" applyAlignment="1"/>
    <xf numFmtId="2" fontId="0" fillId="0" borderId="1" xfId="0" applyNumberFormat="1" applyBorder="1" applyAlignment="1">
      <alignment vertical="center"/>
    </xf>
    <xf numFmtId="0" fontId="11" fillId="0" borderId="0" xfId="0" applyFont="1"/>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15" borderId="3" xfId="0" applyFill="1" applyBorder="1" applyAlignment="1">
      <alignment horizontal="center" vertical="center"/>
    </xf>
    <xf numFmtId="0" fontId="0" fillId="15" borderId="4" xfId="0" applyFill="1" applyBorder="1" applyAlignment="1">
      <alignment horizontal="center" vertical="center"/>
    </xf>
    <xf numFmtId="0" fontId="0" fillId="15" borderId="5" xfId="0" applyFill="1" applyBorder="1" applyAlignment="1">
      <alignment horizontal="center" vertical="center"/>
    </xf>
    <xf numFmtId="0" fontId="0" fillId="8" borderId="3" xfId="0" applyFill="1" applyBorder="1" applyAlignment="1">
      <alignment horizontal="center"/>
    </xf>
    <xf numFmtId="0" fontId="0" fillId="8" borderId="4" xfId="0" applyFill="1" applyBorder="1" applyAlignment="1">
      <alignment horizontal="center"/>
    </xf>
    <xf numFmtId="0" fontId="0" fillId="8" borderId="5" xfId="0" applyFill="1" applyBorder="1" applyAlignment="1">
      <alignment horizontal="center"/>
    </xf>
    <xf numFmtId="0" fontId="0" fillId="8" borderId="3" xfId="0" applyFill="1" applyBorder="1" applyAlignment="1">
      <alignment horizontal="center" vertical="center"/>
    </xf>
    <xf numFmtId="0" fontId="0" fillId="8" borderId="4" xfId="0" applyFill="1" applyBorder="1" applyAlignment="1">
      <alignment horizontal="center" vertical="center"/>
    </xf>
    <xf numFmtId="0" fontId="0" fillId="8" borderId="5" xfId="0" applyFill="1" applyBorder="1" applyAlignment="1">
      <alignment horizontal="center" vertical="center"/>
    </xf>
    <xf numFmtId="0" fontId="0" fillId="11" borderId="3" xfId="0" applyFill="1" applyBorder="1" applyAlignment="1">
      <alignment horizontal="center"/>
    </xf>
    <xf numFmtId="0" fontId="0" fillId="11" borderId="4" xfId="0" applyFill="1" applyBorder="1" applyAlignment="1">
      <alignment horizontal="center"/>
    </xf>
    <xf numFmtId="0" fontId="0" fillId="11" borderId="5" xfId="0"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0" fillId="12" borderId="5" xfId="0" applyFill="1" applyBorder="1" applyAlignment="1">
      <alignment horizontal="center"/>
    </xf>
    <xf numFmtId="0" fontId="0" fillId="0" borderId="3" xfId="0" applyBorder="1" applyAlignment="1">
      <alignment horizontal="center" vertical="center"/>
    </xf>
    <xf numFmtId="0" fontId="0" fillId="0" borderId="5" xfId="0" applyBorder="1" applyAlignment="1">
      <alignment horizontal="center" vertical="center"/>
    </xf>
    <xf numFmtId="0" fontId="1" fillId="0" borderId="0" xfId="0" applyFont="1" applyAlignment="1">
      <alignment horizontal="center"/>
    </xf>
    <xf numFmtId="2" fontId="0" fillId="0" borderId="3" xfId="0" applyNumberFormat="1" applyBorder="1" applyAlignment="1">
      <alignment horizontal="center"/>
    </xf>
    <xf numFmtId="2" fontId="0" fillId="0" borderId="5" xfId="0" applyNumberFormat="1" applyBorder="1" applyAlignment="1">
      <alignment horizontal="center"/>
    </xf>
    <xf numFmtId="0" fontId="0" fillId="5" borderId="0" xfId="0" applyFill="1" applyAlignment="1">
      <alignment horizontal="center"/>
    </xf>
    <xf numFmtId="0" fontId="0" fillId="0" borderId="1" xfId="0"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wrapText="1"/>
    </xf>
    <xf numFmtId="0" fontId="10" fillId="19" borderId="0" xfId="0" applyFont="1" applyFill="1" applyAlignment="1">
      <alignment horizontal="center"/>
    </xf>
    <xf numFmtId="0" fontId="22" fillId="0" borderId="1" xfId="0" applyFont="1" applyBorder="1" applyAlignment="1">
      <alignment horizontal="center" wrapText="1"/>
    </xf>
    <xf numFmtId="0" fontId="0" fillId="0" borderId="37" xfId="0" applyBorder="1" applyAlignment="1">
      <alignment horizontal="center" wrapText="1"/>
    </xf>
    <xf numFmtId="0" fontId="0" fillId="0" borderId="43" xfId="0" applyBorder="1" applyAlignment="1">
      <alignment horizontal="center" wrapText="1"/>
    </xf>
    <xf numFmtId="0" fontId="0" fillId="0" borderId="39" xfId="0" applyBorder="1" applyAlignment="1">
      <alignment horizontal="center" wrapText="1"/>
    </xf>
    <xf numFmtId="0" fontId="0" fillId="0" borderId="44" xfId="0" applyBorder="1" applyAlignment="1">
      <alignment horizontal="center" wrapText="1"/>
    </xf>
    <xf numFmtId="0" fontId="0" fillId="0" borderId="0" xfId="0" applyBorder="1" applyAlignment="1">
      <alignment horizontal="center" wrapText="1"/>
    </xf>
    <xf numFmtId="0" fontId="0" fillId="0" borderId="2" xfId="0" applyBorder="1" applyAlignment="1">
      <alignment horizontal="center" wrapText="1"/>
    </xf>
    <xf numFmtId="0" fontId="0" fillId="0" borderId="25" xfId="0" applyBorder="1" applyAlignment="1">
      <alignment horizontal="center" wrapText="1"/>
    </xf>
    <xf numFmtId="0" fontId="0" fillId="0" borderId="45" xfId="0" applyBorder="1" applyAlignment="1">
      <alignment horizontal="center" wrapText="1"/>
    </xf>
    <xf numFmtId="0" fontId="0" fillId="0" borderId="38" xfId="0" applyBorder="1" applyAlignment="1">
      <alignment horizontal="center" wrapText="1"/>
    </xf>
    <xf numFmtId="0" fontId="6" fillId="19" borderId="0" xfId="0" applyFont="1" applyFill="1" applyAlignment="1">
      <alignment horizontal="center"/>
    </xf>
    <xf numFmtId="0" fontId="0" fillId="0" borderId="1" xfId="0" applyBorder="1" applyAlignment="1">
      <alignment horizontal="center" vertical="center"/>
    </xf>
    <xf numFmtId="0" fontId="22" fillId="0" borderId="1" xfId="0" applyFont="1" applyBorder="1" applyAlignment="1">
      <alignment horizontal="center" vertical="center" wrapText="1"/>
    </xf>
    <xf numFmtId="0" fontId="17" fillId="19" borderId="0" xfId="0" applyFont="1" applyFill="1" applyAlignment="1">
      <alignment horizontal="center"/>
    </xf>
    <xf numFmtId="0" fontId="0" fillId="0" borderId="37" xfId="0" applyBorder="1" applyAlignment="1">
      <alignment horizontal="center" vertical="center" wrapText="1"/>
    </xf>
    <xf numFmtId="0" fontId="0" fillId="0" borderId="43" xfId="0" applyBorder="1" applyAlignment="1">
      <alignment horizontal="center" vertical="center" wrapText="1"/>
    </xf>
    <xf numFmtId="0" fontId="0" fillId="0" borderId="39" xfId="0" applyBorder="1" applyAlignment="1">
      <alignment horizontal="center" vertical="center" wrapText="1"/>
    </xf>
    <xf numFmtId="0" fontId="0" fillId="0" borderId="44" xfId="0"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25" xfId="0" applyBorder="1" applyAlignment="1">
      <alignment horizontal="center" vertical="center" wrapText="1"/>
    </xf>
    <xf numFmtId="0" fontId="0" fillId="0" borderId="45" xfId="0" applyBorder="1" applyAlignment="1">
      <alignment horizontal="center" vertical="center" wrapText="1"/>
    </xf>
    <xf numFmtId="0" fontId="0" fillId="0" borderId="38" xfId="0" applyBorder="1" applyAlignment="1">
      <alignment horizontal="center" vertical="center" wrapText="1"/>
    </xf>
    <xf numFmtId="0" fontId="0" fillId="0" borderId="0" xfId="0" applyAlignment="1">
      <alignment horizontal="center"/>
    </xf>
    <xf numFmtId="0" fontId="6" fillId="8" borderId="17" xfId="0" applyFont="1" applyFill="1" applyBorder="1" applyAlignment="1">
      <alignment horizontal="center" vertical="center" textRotation="90"/>
    </xf>
    <xf numFmtId="0" fontId="6" fillId="8" borderId="18" xfId="0" applyFont="1" applyFill="1" applyBorder="1" applyAlignment="1">
      <alignment horizontal="center" vertical="center" textRotation="90"/>
    </xf>
    <xf numFmtId="0" fontId="6" fillId="8" borderId="19" xfId="0" applyFont="1" applyFill="1" applyBorder="1" applyAlignment="1">
      <alignment horizontal="center" vertical="center" textRotation="90"/>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10" fillId="8" borderId="17" xfId="0" applyFont="1" applyFill="1" applyBorder="1" applyAlignment="1">
      <alignment horizontal="center" vertical="center" textRotation="90" wrapText="1"/>
    </xf>
    <xf numFmtId="0" fontId="10" fillId="8" borderId="18" xfId="0" applyFont="1" applyFill="1" applyBorder="1" applyAlignment="1">
      <alignment horizontal="center" vertical="center" textRotation="90"/>
    </xf>
    <xf numFmtId="0" fontId="10" fillId="8" borderId="19" xfId="0" applyFont="1" applyFill="1" applyBorder="1" applyAlignment="1">
      <alignment horizontal="center" vertical="center" textRotation="90"/>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12" xfId="0" applyBorder="1" applyAlignment="1">
      <alignment horizontal="center" vertical="top" wrapText="1"/>
    </xf>
    <xf numFmtId="0" fontId="0" fillId="0" borderId="0" xfId="0" applyBorder="1" applyAlignment="1">
      <alignment horizontal="center" vertical="top" wrapText="1"/>
    </xf>
    <xf numFmtId="0" fontId="0" fillId="0" borderId="13" xfId="0" applyBorder="1" applyAlignment="1">
      <alignment horizontal="center" vertical="top" wrapText="1"/>
    </xf>
    <xf numFmtId="0" fontId="0" fillId="0" borderId="15" xfId="0" applyBorder="1" applyAlignment="1">
      <alignment horizontal="center" vertical="top" wrapText="1"/>
    </xf>
    <xf numFmtId="0" fontId="0" fillId="0" borderId="16" xfId="0" applyBorder="1" applyAlignment="1">
      <alignment horizontal="center" vertical="top" wrapText="1"/>
    </xf>
    <xf numFmtId="0" fontId="0" fillId="0" borderId="14" xfId="0" applyBorder="1" applyAlignment="1">
      <alignment horizontal="center" wrapText="1"/>
    </xf>
    <xf numFmtId="0" fontId="0" fillId="9" borderId="9" xfId="0" applyFont="1" applyFill="1" applyBorder="1" applyAlignment="1">
      <alignment horizontal="center" vertical="center" wrapText="1"/>
    </xf>
    <xf numFmtId="0" fontId="0" fillId="9" borderId="10" xfId="0" applyFont="1" applyFill="1" applyBorder="1" applyAlignment="1">
      <alignment horizontal="center" vertical="center"/>
    </xf>
    <xf numFmtId="0" fontId="0" fillId="9" borderId="11" xfId="0" applyFont="1" applyFill="1" applyBorder="1" applyAlignment="1">
      <alignment horizontal="center" vertical="center"/>
    </xf>
    <xf numFmtId="0" fontId="0" fillId="9" borderId="12" xfId="0" applyFont="1" applyFill="1" applyBorder="1" applyAlignment="1">
      <alignment horizontal="center" vertical="center"/>
    </xf>
    <xf numFmtId="0" fontId="0" fillId="9" borderId="0" xfId="0" applyFont="1" applyFill="1" applyBorder="1" applyAlignment="1">
      <alignment horizontal="center" vertical="center"/>
    </xf>
    <xf numFmtId="0" fontId="0" fillId="9" borderId="13" xfId="0" applyFont="1" applyFill="1" applyBorder="1" applyAlignment="1">
      <alignment horizontal="center" vertical="center"/>
    </xf>
    <xf numFmtId="0" fontId="0" fillId="9" borderId="14" xfId="0" applyFont="1" applyFill="1" applyBorder="1" applyAlignment="1">
      <alignment horizontal="center" vertical="center"/>
    </xf>
    <xf numFmtId="0" fontId="0" fillId="9" borderId="15" xfId="0" applyFont="1" applyFill="1" applyBorder="1" applyAlignment="1">
      <alignment horizontal="center" vertical="center"/>
    </xf>
    <xf numFmtId="0" fontId="0" fillId="9" borderId="16" xfId="0" applyFont="1" applyFill="1" applyBorder="1" applyAlignment="1">
      <alignment horizontal="center" vertical="center"/>
    </xf>
    <xf numFmtId="0" fontId="9" fillId="0" borderId="0" xfId="0" applyFont="1" applyAlignment="1">
      <alignment horizontal="center"/>
    </xf>
    <xf numFmtId="0" fontId="10" fillId="8" borderId="17" xfId="0" applyFont="1" applyFill="1" applyBorder="1" applyAlignment="1">
      <alignment horizontal="center" vertical="center" textRotation="90"/>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3" fillId="18" borderId="0" xfId="0" applyFont="1" applyFill="1" applyAlignment="1">
      <alignment horizontal="center"/>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14" xfId="0" applyBorder="1" applyAlignment="1">
      <alignment horizontal="center" vertical="top" wrapText="1"/>
    </xf>
    <xf numFmtId="0" fontId="6" fillId="8" borderId="0" xfId="0" applyFont="1" applyFill="1" applyAlignment="1">
      <alignment horizontal="center"/>
    </xf>
    <xf numFmtId="0" fontId="3" fillId="16" borderId="0" xfId="0" applyFont="1" applyFill="1" applyAlignment="1">
      <alignment horizontal="center"/>
    </xf>
    <xf numFmtId="0" fontId="3" fillId="14" borderId="0" xfId="0" applyFont="1" applyFill="1" applyAlignment="1">
      <alignment horizontal="center"/>
    </xf>
    <xf numFmtId="0" fontId="3" fillId="17" borderId="0" xfId="0" applyFont="1" applyFill="1" applyAlignment="1">
      <alignment horizontal="center"/>
    </xf>
    <xf numFmtId="0" fontId="3" fillId="2" borderId="0" xfId="0" applyFont="1" applyFill="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0" xfId="0" applyFont="1" applyBorder="1" applyAlignment="1">
      <alignment horizontal="center"/>
    </xf>
    <xf numFmtId="0" fontId="10" fillId="0" borderId="0" xfId="0" applyFont="1" applyAlignment="1">
      <alignment horizontal="center"/>
    </xf>
    <xf numFmtId="0" fontId="6" fillId="9" borderId="6" xfId="0" applyFont="1" applyFill="1" applyBorder="1" applyAlignment="1">
      <alignment horizontal="center"/>
    </xf>
    <xf numFmtId="0" fontId="6" fillId="9" borderId="7" xfId="0" applyFont="1" applyFill="1" applyBorder="1" applyAlignment="1">
      <alignment horizontal="center"/>
    </xf>
    <xf numFmtId="0" fontId="6" fillId="9" borderId="8" xfId="0" applyFont="1" applyFill="1" applyBorder="1" applyAlignment="1">
      <alignment horizontal="center"/>
    </xf>
    <xf numFmtId="0" fontId="0" fillId="0" borderId="9" xfId="0" applyFill="1" applyBorder="1" applyAlignment="1">
      <alignment horizontal="center" wrapText="1"/>
    </xf>
    <xf numFmtId="0" fontId="0" fillId="0" borderId="10" xfId="0" applyFill="1" applyBorder="1" applyAlignment="1">
      <alignment horizontal="center" wrapText="1"/>
    </xf>
    <xf numFmtId="0" fontId="0" fillId="0" borderId="11" xfId="0" applyFill="1" applyBorder="1" applyAlignment="1">
      <alignment horizontal="center" wrapText="1"/>
    </xf>
    <xf numFmtId="0" fontId="0" fillId="0" borderId="14" xfId="0" applyFill="1" applyBorder="1" applyAlignment="1">
      <alignment horizontal="center" wrapText="1"/>
    </xf>
    <xf numFmtId="0" fontId="0" fillId="0" borderId="15" xfId="0" applyFill="1" applyBorder="1" applyAlignment="1">
      <alignment horizontal="center" wrapText="1"/>
    </xf>
    <xf numFmtId="0" fontId="0" fillId="0" borderId="16" xfId="0" applyFill="1" applyBorder="1" applyAlignment="1">
      <alignment horizont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0"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1" fillId="21" borderId="0" xfId="0" applyFont="1" applyFill="1" applyAlignment="1">
      <alignment horizontal="center"/>
    </xf>
    <xf numFmtId="0" fontId="0" fillId="21" borderId="0" xfId="0" applyFill="1" applyAlignment="1">
      <alignment horizontal="center"/>
    </xf>
    <xf numFmtId="0" fontId="0" fillId="20" borderId="17" xfId="0" applyFill="1" applyBorder="1" applyAlignment="1">
      <alignment horizontal="center" vertical="center"/>
    </xf>
    <xf numFmtId="0" fontId="0" fillId="20" borderId="18" xfId="0" applyFill="1" applyBorder="1" applyAlignment="1">
      <alignment horizontal="center" vertical="center"/>
    </xf>
    <xf numFmtId="0" fontId="0" fillId="20" borderId="19" xfId="0" applyFill="1" applyBorder="1" applyAlignment="1">
      <alignment horizontal="center" vertical="center"/>
    </xf>
    <xf numFmtId="0" fontId="0" fillId="0" borderId="13" xfId="0" applyBorder="1" applyAlignment="1">
      <alignment horizont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0" fontId="1" fillId="0" borderId="0" xfId="0" applyFont="1" applyAlignment="1">
      <alignment horizontal="left" vertical="center"/>
    </xf>
    <xf numFmtId="0" fontId="10" fillId="21" borderId="0" xfId="0" applyFont="1" applyFill="1" applyAlignment="1">
      <alignment horizontal="center"/>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20" borderId="17" xfId="0" applyFont="1" applyFill="1" applyBorder="1" applyAlignment="1">
      <alignment horizontal="center" vertical="center"/>
    </xf>
    <xf numFmtId="0" fontId="1" fillId="20" borderId="18" xfId="0" applyFont="1" applyFill="1" applyBorder="1" applyAlignment="1">
      <alignment horizontal="center" vertical="center"/>
    </xf>
    <xf numFmtId="0" fontId="1" fillId="20" borderId="19" xfId="0" applyFont="1" applyFill="1" applyBorder="1" applyAlignment="1">
      <alignment horizontal="center" vertical="center"/>
    </xf>
    <xf numFmtId="0" fontId="6" fillId="0" borderId="0" xfId="0" applyFont="1" applyAlignment="1">
      <alignment horizontal="center"/>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5" xfId="0" applyFont="1" applyFill="1" applyBorder="1" applyAlignment="1">
      <alignment horizontal="center" vertical="center" wrapText="1"/>
    </xf>
    <xf numFmtId="0" fontId="6" fillId="0" borderId="16" xfId="0" applyFont="1" applyFill="1" applyBorder="1" applyAlignment="1">
      <alignment horizontal="center" vertical="center" wrapText="1"/>
    </xf>
    <xf numFmtId="0" fontId="2" fillId="20" borderId="0" xfId="0" applyFont="1" applyFill="1" applyAlignment="1">
      <alignment horizontal="center"/>
    </xf>
    <xf numFmtId="0" fontId="0" fillId="20" borderId="0" xfId="0" applyFill="1" applyAlignment="1">
      <alignment horizontal="center"/>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0"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2" fontId="14" fillId="17" borderId="0" xfId="0" applyNumberFormat="1" applyFont="1" applyFill="1" applyAlignment="1">
      <alignment horizontal="center"/>
    </xf>
    <xf numFmtId="0" fontId="14" fillId="17" borderId="0" xfId="0" applyFont="1" applyFill="1" applyAlignment="1">
      <alignment horizontal="center"/>
    </xf>
    <xf numFmtId="2" fontId="2" fillId="20" borderId="0" xfId="0" applyNumberFormat="1" applyFont="1" applyFill="1" applyAlignment="1">
      <alignment horizontal="center"/>
    </xf>
    <xf numFmtId="0" fontId="13" fillId="19" borderId="0" xfId="0" applyFont="1" applyFill="1" applyAlignment="1">
      <alignment horizontal="center"/>
    </xf>
    <xf numFmtId="0" fontId="15" fillId="18" borderId="0" xfId="0" applyFont="1" applyFill="1" applyAlignment="1">
      <alignment horizontal="center"/>
    </xf>
    <xf numFmtId="0" fontId="2" fillId="0" borderId="0" xfId="0" applyFont="1" applyFill="1" applyAlignment="1">
      <alignment horizontal="center"/>
    </xf>
    <xf numFmtId="0" fontId="6" fillId="0" borderId="9" xfId="0" applyFont="1" applyBorder="1" applyAlignment="1">
      <alignment horizontal="center" wrapText="1"/>
    </xf>
    <xf numFmtId="0" fontId="6" fillId="0" borderId="10" xfId="0" applyFont="1" applyBorder="1" applyAlignment="1">
      <alignment horizontal="center" wrapText="1"/>
    </xf>
    <xf numFmtId="0" fontId="6" fillId="0" borderId="11" xfId="0" applyFont="1" applyBorder="1" applyAlignment="1">
      <alignment horizontal="center" wrapText="1"/>
    </xf>
    <xf numFmtId="0" fontId="6" fillId="0" borderId="12" xfId="0" applyFont="1" applyBorder="1" applyAlignment="1">
      <alignment horizontal="center" wrapText="1"/>
    </xf>
    <xf numFmtId="0" fontId="6" fillId="0" borderId="0" xfId="0" applyFont="1" applyBorder="1" applyAlignment="1">
      <alignment horizontal="center" wrapText="1"/>
    </xf>
    <xf numFmtId="0" fontId="6" fillId="0" borderId="13" xfId="0" applyFont="1" applyBorder="1" applyAlignment="1">
      <alignment horizontal="center" wrapText="1"/>
    </xf>
    <xf numFmtId="0" fontId="6" fillId="0" borderId="14" xfId="0" applyFont="1" applyBorder="1" applyAlignment="1">
      <alignment horizontal="center" wrapText="1"/>
    </xf>
    <xf numFmtId="0" fontId="6" fillId="0" borderId="15" xfId="0" applyFont="1" applyBorder="1" applyAlignment="1">
      <alignment horizontal="center" wrapText="1"/>
    </xf>
    <xf numFmtId="0" fontId="6" fillId="0" borderId="16" xfId="0" applyFont="1" applyBorder="1" applyAlignment="1">
      <alignment horizontal="center" wrapText="1"/>
    </xf>
    <xf numFmtId="0" fontId="2" fillId="20" borderId="0" xfId="0" applyFont="1" applyFill="1" applyBorder="1" applyAlignment="1">
      <alignment horizontal="center"/>
    </xf>
    <xf numFmtId="0" fontId="13" fillId="19" borderId="0" xfId="0" applyFont="1" applyFill="1" applyBorder="1" applyAlignment="1">
      <alignment horizontal="center"/>
    </xf>
    <xf numFmtId="0" fontId="1" fillId="9" borderId="9" xfId="0" applyFont="1" applyFill="1" applyBorder="1" applyAlignment="1">
      <alignment horizontal="center" vertical="center" wrapText="1"/>
    </xf>
    <xf numFmtId="0" fontId="1" fillId="9" borderId="10" xfId="0" applyFont="1" applyFill="1" applyBorder="1" applyAlignment="1">
      <alignment horizontal="center" vertical="center"/>
    </xf>
    <xf numFmtId="0" fontId="1" fillId="9" borderId="11" xfId="0" applyFont="1" applyFill="1" applyBorder="1" applyAlignment="1">
      <alignment horizontal="center" vertical="center"/>
    </xf>
    <xf numFmtId="0" fontId="1" fillId="9" borderId="12" xfId="0" applyFont="1" applyFill="1" applyBorder="1" applyAlignment="1">
      <alignment horizontal="center" vertical="center"/>
    </xf>
    <xf numFmtId="0" fontId="1" fillId="9" borderId="0" xfId="0" applyFont="1" applyFill="1" applyBorder="1" applyAlignment="1">
      <alignment horizontal="center" vertical="center"/>
    </xf>
    <xf numFmtId="0" fontId="1" fillId="9" borderId="13" xfId="0" applyFont="1" applyFill="1" applyBorder="1" applyAlignment="1">
      <alignment horizontal="center" vertical="center"/>
    </xf>
    <xf numFmtId="0" fontId="1" fillId="9" borderId="14" xfId="0" applyFont="1" applyFill="1" applyBorder="1" applyAlignment="1">
      <alignment horizontal="center" vertical="center"/>
    </xf>
    <xf numFmtId="0" fontId="1" fillId="9" borderId="15" xfId="0" applyFont="1" applyFill="1" applyBorder="1" applyAlignment="1">
      <alignment horizontal="center" vertical="center"/>
    </xf>
    <xf numFmtId="0" fontId="1" fillId="9" borderId="16" xfId="0" applyFont="1" applyFill="1" applyBorder="1" applyAlignment="1">
      <alignment horizontal="center" vertical="center"/>
    </xf>
    <xf numFmtId="0" fontId="16" fillId="0" borderId="0" xfId="0" applyFont="1" applyAlignment="1">
      <alignment horizontal="center"/>
    </xf>
    <xf numFmtId="0" fontId="10" fillId="0" borderId="9" xfId="0" applyFont="1" applyBorder="1" applyAlignment="1">
      <alignment horizontal="center" vertical="center" wrapText="1"/>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0"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3" fillId="19" borderId="0" xfId="0" applyFont="1" applyFill="1" applyAlignment="1">
      <alignment horizontal="center"/>
    </xf>
    <xf numFmtId="0" fontId="12" fillId="0" borderId="0" xfId="0" applyFont="1" applyAlignment="1">
      <alignment horizont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0"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10" fillId="0" borderId="9" xfId="0" applyFont="1" applyBorder="1" applyAlignment="1">
      <alignment horizontal="center" wrapText="1"/>
    </xf>
    <xf numFmtId="0" fontId="10" fillId="0" borderId="10"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10" fillId="0" borderId="0" xfId="0" applyFont="1" applyBorder="1" applyAlignment="1">
      <alignment horizontal="center" wrapText="1"/>
    </xf>
    <xf numFmtId="0" fontId="10" fillId="0" borderId="13" xfId="0" applyFont="1" applyBorder="1" applyAlignment="1">
      <alignment horizontal="center" wrapText="1"/>
    </xf>
    <xf numFmtId="0" fontId="10" fillId="0" borderId="14" xfId="0" applyFont="1" applyBorder="1" applyAlignment="1">
      <alignment horizontal="center" wrapText="1"/>
    </xf>
    <xf numFmtId="0" fontId="10" fillId="0" borderId="15" xfId="0" applyFont="1" applyBorder="1" applyAlignment="1">
      <alignment horizontal="center" wrapText="1"/>
    </xf>
    <xf numFmtId="0" fontId="10" fillId="0" borderId="16" xfId="0" applyFont="1" applyBorder="1" applyAlignment="1">
      <alignment horizont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6" xfId="0" applyFont="1" applyBorder="1" applyAlignment="1">
      <alignment horizontal="center"/>
    </xf>
    <xf numFmtId="0" fontId="10" fillId="0" borderId="7" xfId="0" applyFont="1" applyBorder="1" applyAlignment="1">
      <alignment horizontal="center"/>
    </xf>
    <xf numFmtId="0" fontId="10" fillId="0" borderId="6" xfId="0" applyFont="1" applyBorder="1" applyAlignment="1">
      <alignment horizontal="center" vertical="center"/>
    </xf>
    <xf numFmtId="0" fontId="0" fillId="0" borderId="7" xfId="0"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22" borderId="41" xfId="0" applyFont="1" applyFill="1" applyBorder="1" applyAlignment="1">
      <alignment horizontal="center" vertical="center" wrapText="1"/>
    </xf>
    <xf numFmtId="0" fontId="10" fillId="0" borderId="8" xfId="0" applyFont="1" applyBorder="1" applyAlignment="1">
      <alignment horizontal="center"/>
    </xf>
  </cellXfs>
  <cellStyles count="1">
    <cellStyle name="Normal" xfId="0" builtinId="0"/>
  </cellStyles>
  <dxfs count="57">
    <dxf>
      <font>
        <color rgb="FF0070C0"/>
      </font>
      <fill>
        <patternFill>
          <bgColor rgb="FF0070C0"/>
        </patternFill>
      </fill>
    </dxf>
    <dxf>
      <font>
        <color theme="0"/>
      </font>
      <fill>
        <patternFill>
          <bgColor theme="0"/>
        </patternFill>
      </fill>
    </dxf>
    <dxf>
      <font>
        <color rgb="FF00B050"/>
      </font>
      <fill>
        <patternFill>
          <bgColor rgb="FF00B050"/>
        </patternFill>
      </fill>
    </dxf>
    <dxf>
      <font>
        <color rgb="FF92D050"/>
      </font>
      <fill>
        <patternFill>
          <bgColor rgb="FF92D050"/>
        </patternFill>
      </fill>
    </dxf>
    <dxf>
      <font>
        <color rgb="FFFFFF00"/>
      </font>
      <fill>
        <patternFill>
          <bgColor rgb="FFFFFF00"/>
        </patternFill>
      </fill>
    </dxf>
    <dxf>
      <font>
        <color rgb="FFFFC000"/>
      </font>
      <fill>
        <patternFill>
          <bgColor rgb="FFFFC000"/>
        </patternFill>
      </fill>
    </dxf>
    <dxf>
      <font>
        <color rgb="FF0070C0"/>
      </font>
      <fill>
        <patternFill>
          <bgColor rgb="FF0070C0"/>
        </patternFill>
      </fill>
    </dxf>
    <dxf>
      <font>
        <color theme="0"/>
      </font>
      <fill>
        <patternFill>
          <bgColor theme="0"/>
        </patternFill>
      </fill>
    </dxf>
    <dxf>
      <font>
        <color rgb="FF00B050"/>
      </font>
      <fill>
        <patternFill>
          <bgColor rgb="FF00B050"/>
        </patternFill>
      </fill>
    </dxf>
    <dxf>
      <font>
        <color rgb="FF92D050"/>
      </font>
      <fill>
        <patternFill>
          <bgColor rgb="FF92D050"/>
        </patternFill>
      </fill>
    </dxf>
    <dxf>
      <font>
        <color rgb="FFFFFF00"/>
      </font>
      <fill>
        <patternFill>
          <bgColor rgb="FFFFFF00"/>
        </patternFill>
      </fill>
    </dxf>
    <dxf>
      <font>
        <color rgb="FFFFC000"/>
      </font>
      <fill>
        <patternFill>
          <bgColor rgb="FFFFC000"/>
        </patternFill>
      </fill>
    </dxf>
    <dxf>
      <font>
        <color rgb="FF0070C0"/>
      </font>
      <fill>
        <patternFill>
          <bgColor rgb="FF0070C0"/>
        </patternFill>
      </fill>
    </dxf>
    <dxf>
      <font>
        <color theme="0"/>
      </font>
      <fill>
        <patternFill>
          <bgColor theme="0"/>
        </patternFill>
      </fill>
    </dxf>
    <dxf>
      <font>
        <color rgb="FF00B050"/>
      </font>
      <fill>
        <patternFill>
          <bgColor rgb="FF00B050"/>
        </patternFill>
      </fill>
    </dxf>
    <dxf>
      <font>
        <color rgb="FF92D050"/>
      </font>
      <fill>
        <patternFill>
          <bgColor rgb="FF92D050"/>
        </patternFill>
      </fill>
    </dxf>
    <dxf>
      <font>
        <color rgb="FFFFFF00"/>
      </font>
      <fill>
        <patternFill>
          <bgColor rgb="FFFFFF00"/>
        </patternFill>
      </fill>
    </dxf>
    <dxf>
      <font>
        <color rgb="FFFFC000"/>
      </font>
      <fill>
        <patternFill>
          <bgColor rgb="FFFFC000"/>
        </patternFill>
      </fill>
    </dxf>
    <dxf>
      <font>
        <color rgb="FF0070C0"/>
      </font>
      <fill>
        <patternFill>
          <bgColor rgb="FF0070C0"/>
        </patternFill>
      </fill>
    </dxf>
    <dxf>
      <font>
        <color theme="0"/>
      </font>
      <fill>
        <patternFill>
          <bgColor theme="0"/>
        </patternFill>
      </fill>
    </dxf>
    <dxf>
      <font>
        <color rgb="FF00B050"/>
      </font>
      <fill>
        <patternFill>
          <bgColor rgb="FF00B050"/>
        </patternFill>
      </fill>
    </dxf>
    <dxf>
      <font>
        <color rgb="FF92D050"/>
      </font>
      <fill>
        <patternFill>
          <bgColor rgb="FF92D050"/>
        </patternFill>
      </fill>
    </dxf>
    <dxf>
      <font>
        <color rgb="FFFFFF00"/>
      </font>
      <fill>
        <patternFill>
          <bgColor rgb="FFFFFF00"/>
        </patternFill>
      </fill>
    </dxf>
    <dxf>
      <font>
        <color rgb="FFFFC000"/>
      </font>
      <fill>
        <patternFill>
          <bgColor rgb="FFFFC000"/>
        </patternFill>
      </fill>
    </dxf>
    <dxf>
      <font>
        <color rgb="FF0070C0"/>
      </font>
      <fill>
        <patternFill>
          <bgColor rgb="FF0070C0"/>
        </patternFill>
      </fill>
    </dxf>
    <dxf>
      <font>
        <color theme="0"/>
      </font>
      <fill>
        <patternFill>
          <bgColor theme="0"/>
        </patternFill>
      </fill>
    </dxf>
    <dxf>
      <font>
        <color rgb="FF00B050"/>
      </font>
      <fill>
        <patternFill>
          <bgColor rgb="FF00B050"/>
        </patternFill>
      </fill>
    </dxf>
    <dxf>
      <font>
        <color rgb="FF92D050"/>
      </font>
      <fill>
        <patternFill>
          <bgColor rgb="FF92D050"/>
        </patternFill>
      </fill>
    </dxf>
    <dxf>
      <font>
        <color rgb="FFFFFF00"/>
      </font>
      <fill>
        <patternFill>
          <bgColor rgb="FFFFFF00"/>
        </patternFill>
      </fill>
    </dxf>
    <dxf>
      <font>
        <color rgb="FFFFC000"/>
      </font>
      <fill>
        <patternFill>
          <bgColor rgb="FFFFC000"/>
        </patternFill>
      </fill>
    </dxf>
    <dxf>
      <font>
        <color rgb="FF0070C0"/>
      </font>
      <fill>
        <patternFill>
          <bgColor rgb="FF0070C0"/>
        </patternFill>
      </fill>
    </dxf>
    <dxf>
      <font>
        <color theme="0"/>
      </font>
      <fill>
        <patternFill>
          <bgColor theme="0"/>
        </patternFill>
      </fill>
    </dxf>
    <dxf>
      <font>
        <color rgb="FF00B050"/>
      </font>
      <fill>
        <patternFill>
          <bgColor rgb="FF00B050"/>
        </patternFill>
      </fill>
    </dxf>
    <dxf>
      <font>
        <color rgb="FF92D050"/>
      </font>
      <fill>
        <patternFill>
          <bgColor rgb="FF92D050"/>
        </patternFill>
      </fill>
    </dxf>
    <dxf>
      <font>
        <color rgb="FFFFFF00"/>
      </font>
      <fill>
        <patternFill>
          <bgColor rgb="FFFFFF00"/>
        </patternFill>
      </fill>
    </dxf>
    <dxf>
      <font>
        <color rgb="FFFFC000"/>
      </font>
      <fill>
        <patternFill>
          <bgColor rgb="FFFFC000"/>
        </patternFill>
      </fill>
    </dxf>
    <dxf>
      <font>
        <color rgb="FF0070C0"/>
      </font>
      <fill>
        <patternFill>
          <bgColor rgb="FF0070C0"/>
        </patternFill>
      </fill>
    </dxf>
    <dxf>
      <font>
        <color theme="0"/>
      </font>
      <fill>
        <patternFill>
          <bgColor theme="0"/>
        </patternFill>
      </fill>
    </dxf>
    <dxf>
      <font>
        <color rgb="FF00B050"/>
      </font>
      <fill>
        <patternFill>
          <bgColor rgb="FF00B050"/>
        </patternFill>
      </fill>
    </dxf>
    <dxf>
      <font>
        <color rgb="FF92D050"/>
      </font>
      <fill>
        <patternFill>
          <bgColor rgb="FF92D050"/>
        </patternFill>
      </fill>
    </dxf>
    <dxf>
      <font>
        <color rgb="FFFFFF00"/>
      </font>
      <fill>
        <patternFill>
          <bgColor rgb="FFFFFF00"/>
        </patternFill>
      </fill>
    </dxf>
    <dxf>
      <font>
        <color rgb="FFFFFF00"/>
      </font>
      <fill>
        <patternFill>
          <bgColor rgb="FFFFFF00"/>
        </patternFill>
      </fill>
    </dxf>
    <dxf>
      <font>
        <color rgb="FFFFC000"/>
      </font>
      <fill>
        <patternFill>
          <bgColor rgb="FFFFC000"/>
        </patternFill>
      </fill>
    </dxf>
    <dxf>
      <font>
        <color rgb="FFFFC000"/>
      </font>
      <fill>
        <patternFill>
          <bgColor rgb="FFFFC000"/>
        </patternFill>
      </fill>
    </dxf>
    <dxf>
      <font>
        <color rgb="FF0070C0"/>
      </font>
      <fill>
        <patternFill>
          <bgColor rgb="FF0070C0"/>
        </patternFill>
      </fill>
    </dxf>
    <dxf>
      <font>
        <color theme="0"/>
      </font>
      <fill>
        <patternFill>
          <bgColor theme="0"/>
        </patternFill>
      </fill>
    </dxf>
    <dxf>
      <font>
        <color rgb="FF00B050"/>
      </font>
      <fill>
        <patternFill>
          <bgColor rgb="FF00B050"/>
        </patternFill>
      </fill>
    </dxf>
    <dxf>
      <fill>
        <patternFill>
          <bgColor rgb="FF92D050"/>
        </patternFill>
      </fill>
    </dxf>
    <dxf>
      <font>
        <color rgb="FF92D050"/>
      </font>
      <fill>
        <patternFill>
          <bgColor rgb="FF92D050"/>
        </patternFill>
      </fill>
    </dxf>
    <dxf>
      <fill>
        <patternFill>
          <bgColor rgb="FFFFFF00"/>
        </patternFill>
      </fill>
    </dxf>
    <dxf>
      <font>
        <color rgb="FFFFFF00"/>
      </font>
      <fill>
        <patternFill>
          <bgColor rgb="FFFFFF00"/>
        </patternFill>
      </fill>
    </dxf>
    <dxf>
      <font>
        <color rgb="FFFFFF00"/>
      </font>
      <fill>
        <patternFill>
          <bgColor rgb="FFFFFF00"/>
        </patternFill>
      </fill>
    </dxf>
    <dxf>
      <font>
        <color rgb="FF0070C0"/>
      </font>
      <fill>
        <patternFill>
          <bgColor rgb="FF0070C0"/>
        </patternFill>
      </fill>
    </dxf>
    <dxf>
      <font>
        <color rgb="FF00B050"/>
      </font>
      <fill>
        <patternFill>
          <bgColor rgb="FF00B050"/>
        </patternFill>
      </fill>
    </dxf>
    <dxf>
      <font>
        <color rgb="FF00B050"/>
      </font>
      <fill>
        <patternFill>
          <bgColor rgb="FF00B050"/>
        </patternFill>
      </fill>
    </dxf>
    <dxf>
      <font>
        <color rgb="FF92D050"/>
      </font>
      <fill>
        <patternFill>
          <bgColor rgb="FF92D050"/>
        </patternFill>
      </fill>
    </dxf>
    <dxf>
      <font>
        <color rgb="FFFFC000"/>
      </font>
      <fill>
        <patternFill>
          <bgColor rgb="FFFFC000"/>
        </patternFill>
      </fill>
    </dxf>
  </dxfs>
  <tableStyles count="0" defaultTableStyle="TableStyleMedium9" defaultPivotStyle="PivotStyleLight16"/>
  <colors>
    <mruColors>
      <color rgb="FF00CCFF"/>
      <color rgb="FF00FFFF"/>
      <color rgb="FFFF3399"/>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manualLayout>
          <c:layoutTarget val="inner"/>
          <c:xMode val="edge"/>
          <c:yMode val="edge"/>
          <c:x val="0.12339145106861668"/>
          <c:y val="0.13326222822495415"/>
          <c:w val="0.72193682039745033"/>
          <c:h val="0.59785173462715702"/>
        </c:manualLayout>
      </c:layout>
      <c:lineChart>
        <c:grouping val="standard"/>
        <c:varyColors val="0"/>
        <c:ser>
          <c:idx val="0"/>
          <c:order val="0"/>
          <c:tx>
            <c:strRef>
              <c:f>Résultat!$A$4</c:f>
              <c:strCache>
                <c:ptCount val="1"/>
                <c:pt idx="0">
                  <c:v>xxxx</c:v>
                </c:pt>
              </c:strCache>
            </c:strRef>
          </c:tx>
          <c:marker>
            <c:spPr>
              <a:solidFill>
                <a:schemeClr val="accent2"/>
              </a:solidFill>
            </c:spPr>
          </c:marker>
          <c:cat>
            <c:strRef>
              <c:f>Résultat!$B$3:$AJ$3</c:f>
              <c:strCache>
                <c:ptCount val="35"/>
                <c:pt idx="0">
                  <c:v>Névrosisme "N"</c:v>
                </c:pt>
                <c:pt idx="1">
                  <c:v>Extraversion "E"</c:v>
                </c:pt>
                <c:pt idx="2">
                  <c:v>Ouverture"O"</c:v>
                </c:pt>
                <c:pt idx="3">
                  <c:v>Agréabilité "A"</c:v>
                </c:pt>
                <c:pt idx="4">
                  <c:v>Conscience"C"</c:v>
                </c:pt>
                <c:pt idx="5">
                  <c:v>Anxiété "N1"</c:v>
                </c:pt>
                <c:pt idx="6">
                  <c:v>Colère - Hostilité "N2"</c:v>
                </c:pt>
                <c:pt idx="7">
                  <c:v>Dépression"N3"</c:v>
                </c:pt>
                <c:pt idx="8">
                  <c:v>Timidité Sociale "N4"</c:v>
                </c:pt>
                <c:pt idx="9">
                  <c:v>Impulsivité "N5"</c:v>
                </c:pt>
                <c:pt idx="10">
                  <c:v>Vulnérabilité "N6"</c:v>
                </c:pt>
                <c:pt idx="11">
                  <c:v>Chaleur "E1"</c:v>
                </c:pt>
                <c:pt idx="12">
                  <c:v>Grégarité "E2"</c:v>
                </c:pt>
                <c:pt idx="13">
                  <c:v>Assertivité " E3"</c:v>
                </c:pt>
                <c:pt idx="14">
                  <c:v>Activité " E4"</c:v>
                </c:pt>
                <c:pt idx="15">
                  <c:v>Rech- sensations "E5"</c:v>
                </c:pt>
                <c:pt idx="16">
                  <c:v>Emotions posit " E6"</c:v>
                </c:pt>
                <c:pt idx="17">
                  <c:v>Réveries" O1"</c:v>
                </c:pt>
                <c:pt idx="18">
                  <c:v>Esthétique"O2"</c:v>
                </c:pt>
                <c:pt idx="19">
                  <c:v>Sentiments"O3"</c:v>
                </c:pt>
                <c:pt idx="20">
                  <c:v>Actions "O4"</c:v>
                </c:pt>
                <c:pt idx="21">
                  <c:v>Idées " O5"</c:v>
                </c:pt>
                <c:pt idx="22">
                  <c:v>Valeur "O"</c:v>
                </c:pt>
                <c:pt idx="23">
                  <c:v>Confiance "A1"</c:v>
                </c:pt>
                <c:pt idx="24">
                  <c:v>Droiture " A2"</c:v>
                </c:pt>
                <c:pt idx="25">
                  <c:v>Altruisme "A3"</c:v>
                </c:pt>
                <c:pt idx="26">
                  <c:v>Compliance " A4"</c:v>
                </c:pt>
                <c:pt idx="27">
                  <c:v>Modestie"A5"</c:v>
                </c:pt>
                <c:pt idx="28">
                  <c:v>Sensibilité "A6"</c:v>
                </c:pt>
                <c:pt idx="29">
                  <c:v>Compétence " C1"</c:v>
                </c:pt>
                <c:pt idx="30">
                  <c:v>Ordre " C2"</c:v>
                </c:pt>
                <c:pt idx="31">
                  <c:v>Sens du devoir " C3"</c:v>
                </c:pt>
                <c:pt idx="32">
                  <c:v>Rech , réussite"C4"</c:v>
                </c:pt>
                <c:pt idx="33">
                  <c:v>Autodiscipline "C5"</c:v>
                </c:pt>
                <c:pt idx="34">
                  <c:v>Délibération " C6"</c:v>
                </c:pt>
              </c:strCache>
            </c:strRef>
          </c:cat>
          <c:val>
            <c:numRef>
              <c:f>Résultat!$B$4:$AJ$4</c:f>
              <c:numCache>
                <c:formatCode>General</c:formatCode>
                <c:ptCount val="35"/>
                <c:pt idx="0">
                  <c:v>51</c:v>
                </c:pt>
                <c:pt idx="1">
                  <c:v>56</c:v>
                </c:pt>
                <c:pt idx="2">
                  <c:v>52</c:v>
                </c:pt>
                <c:pt idx="3">
                  <c:v>53</c:v>
                </c:pt>
                <c:pt idx="4">
                  <c:v>55</c:v>
                </c:pt>
                <c:pt idx="5">
                  <c:v>56</c:v>
                </c:pt>
                <c:pt idx="6">
                  <c:v>53</c:v>
                </c:pt>
                <c:pt idx="7">
                  <c:v>49</c:v>
                </c:pt>
                <c:pt idx="8">
                  <c:v>46</c:v>
                </c:pt>
                <c:pt idx="9">
                  <c:v>55</c:v>
                </c:pt>
                <c:pt idx="10">
                  <c:v>46</c:v>
                </c:pt>
                <c:pt idx="11">
                  <c:v>48</c:v>
                </c:pt>
                <c:pt idx="12">
                  <c:v>59</c:v>
                </c:pt>
                <c:pt idx="13">
                  <c:v>47</c:v>
                </c:pt>
                <c:pt idx="14">
                  <c:v>60</c:v>
                </c:pt>
                <c:pt idx="15">
                  <c:v>59</c:v>
                </c:pt>
                <c:pt idx="16">
                  <c:v>53</c:v>
                </c:pt>
                <c:pt idx="17">
                  <c:v>49</c:v>
                </c:pt>
                <c:pt idx="18">
                  <c:v>53</c:v>
                </c:pt>
                <c:pt idx="19">
                  <c:v>58</c:v>
                </c:pt>
                <c:pt idx="20">
                  <c:v>52</c:v>
                </c:pt>
                <c:pt idx="21">
                  <c:v>52</c:v>
                </c:pt>
                <c:pt idx="22">
                  <c:v>47</c:v>
                </c:pt>
                <c:pt idx="23">
                  <c:v>30</c:v>
                </c:pt>
                <c:pt idx="24">
                  <c:v>59</c:v>
                </c:pt>
                <c:pt idx="25">
                  <c:v>46</c:v>
                </c:pt>
                <c:pt idx="26">
                  <c:v>40</c:v>
                </c:pt>
                <c:pt idx="27">
                  <c:v>42</c:v>
                </c:pt>
                <c:pt idx="28">
                  <c:v>62</c:v>
                </c:pt>
                <c:pt idx="29">
                  <c:v>51</c:v>
                </c:pt>
                <c:pt idx="30">
                  <c:v>48</c:v>
                </c:pt>
                <c:pt idx="31">
                  <c:v>51</c:v>
                </c:pt>
                <c:pt idx="32">
                  <c:v>65</c:v>
                </c:pt>
                <c:pt idx="33">
                  <c:v>59</c:v>
                </c:pt>
                <c:pt idx="34">
                  <c:v>50</c:v>
                </c:pt>
              </c:numCache>
            </c:numRef>
          </c:val>
          <c:smooth val="0"/>
          <c:extLst>
            <c:ext xmlns:c16="http://schemas.microsoft.com/office/drawing/2014/chart" uri="{C3380CC4-5D6E-409C-BE32-E72D297353CC}">
              <c16:uniqueId val="{00000000-8B73-44C3-A2B4-807F1CCAE29C}"/>
            </c:ext>
          </c:extLst>
        </c:ser>
        <c:dLbls>
          <c:showLegendKey val="0"/>
          <c:showVal val="0"/>
          <c:showCatName val="0"/>
          <c:showSerName val="0"/>
          <c:showPercent val="0"/>
          <c:showBubbleSize val="0"/>
        </c:dLbls>
        <c:marker val="1"/>
        <c:smooth val="0"/>
        <c:axId val="74782592"/>
        <c:axId val="74797056"/>
      </c:lineChart>
      <c:catAx>
        <c:axId val="74782592"/>
        <c:scaling>
          <c:orientation val="minMax"/>
        </c:scaling>
        <c:delete val="0"/>
        <c:axPos val="b"/>
        <c:numFmt formatCode="General" sourceLinked="0"/>
        <c:majorTickMark val="out"/>
        <c:minorTickMark val="none"/>
        <c:tickLblPos val="nextTo"/>
        <c:crossAx val="74797056"/>
        <c:crosses val="autoZero"/>
        <c:auto val="1"/>
        <c:lblAlgn val="ctr"/>
        <c:lblOffset val="100"/>
        <c:noMultiLvlLbl val="0"/>
      </c:catAx>
      <c:valAx>
        <c:axId val="74797056"/>
        <c:scaling>
          <c:orientation val="minMax"/>
        </c:scaling>
        <c:delete val="0"/>
        <c:axPos val="l"/>
        <c:majorGridlines/>
        <c:numFmt formatCode="General" sourceLinked="1"/>
        <c:majorTickMark val="out"/>
        <c:minorTickMark val="none"/>
        <c:tickLblPos val="nextTo"/>
        <c:crossAx val="74782592"/>
        <c:crosses val="autoZero"/>
        <c:crossBetween val="between"/>
      </c:valAx>
    </c:plotArea>
    <c:legend>
      <c:legendPos val="r"/>
      <c:overlay val="0"/>
    </c:legend>
    <c:plotVisOnly val="1"/>
    <c:dispBlanksAs val="gap"/>
    <c:showDLblsOverMax val="0"/>
  </c:chart>
  <c:printSettings>
    <c:headerFooter/>
    <c:pageMargins b="0.75000000000000133" l="0.70000000000000062" r="0.70000000000000062" t="0.750000000000001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675597351092183"/>
          <c:y val="0"/>
          <c:w val="0.6481618224847695"/>
          <c:h val="0.98724598512218609"/>
        </c:manualLayout>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D41-43EC-A33C-59A9A282A62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D41-43EC-A33C-59A9A282A62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D41-43EC-A33C-59A9A282A62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D41-43EC-A33C-59A9A282A62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D41-43EC-A33C-59A9A282A62D}"/>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9D41-43EC-A33C-59A9A282A62D}"/>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9D41-43EC-A33C-59A9A282A62D}"/>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9D41-43EC-A33C-59A9A282A62D}"/>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9D41-43EC-A33C-59A9A282A62D}"/>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9D41-43EC-A33C-59A9A282A6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TOTAL!$X$6:$AG$6</c:f>
              <c:numCache>
                <c:formatCode>General</c:formatCode>
                <c:ptCount val="10"/>
                <c:pt idx="0">
                  <c:v>0</c:v>
                </c:pt>
                <c:pt idx="2">
                  <c:v>0</c:v>
                </c:pt>
                <c:pt idx="4">
                  <c:v>0</c:v>
                </c:pt>
                <c:pt idx="6">
                  <c:v>0</c:v>
                </c:pt>
                <c:pt idx="8">
                  <c:v>0</c:v>
                </c:pt>
              </c:numCache>
            </c:numRef>
          </c:val>
          <c:extLst>
            <c:ext xmlns:c16="http://schemas.microsoft.com/office/drawing/2014/chart" uri="{C3380CC4-5D6E-409C-BE32-E72D297353CC}">
              <c16:uniqueId val="{00000000-3C89-40D0-BD8F-FF8A928C4310}"/>
            </c:ext>
          </c:extLst>
        </c:ser>
        <c:ser>
          <c:idx val="1"/>
          <c:order val="1"/>
          <c:dPt>
            <c:idx val="0"/>
            <c:bubble3D val="0"/>
            <c:spPr>
              <a:solidFill>
                <a:srgbClr val="C0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C89-40D0-BD8F-FF8A928C431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9D41-43EC-A33C-59A9A282A62D}"/>
              </c:ext>
            </c:extLst>
          </c:dPt>
          <c:dPt>
            <c:idx val="2"/>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3C89-40D0-BD8F-FF8A928C431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9D41-43EC-A33C-59A9A282A62D}"/>
              </c:ext>
            </c:extLst>
          </c:dPt>
          <c:dPt>
            <c:idx val="4"/>
            <c:bubble3D val="0"/>
            <c:spPr>
              <a:solidFill>
                <a:srgbClr val="0070C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C89-40D0-BD8F-FF8A928C431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9D41-43EC-A33C-59A9A282A62D}"/>
              </c:ext>
            </c:extLst>
          </c:dPt>
          <c:dPt>
            <c:idx val="6"/>
            <c:bubble3D val="0"/>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3C89-40D0-BD8F-FF8A928C4310}"/>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9D41-43EC-A33C-59A9A282A62D}"/>
              </c:ext>
            </c:extLst>
          </c:dPt>
          <c:dPt>
            <c:idx val="8"/>
            <c:bubble3D val="0"/>
            <c:spPr>
              <a:solidFill>
                <a:srgbClr val="92D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3C89-40D0-BD8F-FF8A928C4310}"/>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7-9D41-43EC-A33C-59A9A282A62D}"/>
              </c:ext>
            </c:extLst>
          </c:dPt>
          <c:dLbls>
            <c:dLbl>
              <c:idx val="0"/>
              <c:tx>
                <c:rich>
                  <a:bodyPr/>
                  <a:lstStyle/>
                  <a:p>
                    <a:r>
                      <a:rPr lang="en-US"/>
                      <a:t>Conscience</a:t>
                    </a:r>
                  </a:p>
                </c:rich>
              </c:tx>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C89-40D0-BD8F-FF8A928C4310}"/>
                </c:ext>
              </c:extLst>
            </c:dLbl>
            <c:dLbl>
              <c:idx val="2"/>
              <c:tx>
                <c:rich>
                  <a:bodyPr/>
                  <a:lstStyle/>
                  <a:p>
                    <a:r>
                      <a:rPr lang="en-US"/>
                      <a:t>Agréabilité</a:t>
                    </a:r>
                  </a:p>
                </c:rich>
              </c:tx>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C89-40D0-BD8F-FF8A928C4310}"/>
                </c:ext>
              </c:extLst>
            </c:dLbl>
            <c:dLbl>
              <c:idx val="4"/>
              <c:tx>
                <c:rich>
                  <a:bodyPr/>
                  <a:lstStyle/>
                  <a:p>
                    <a:r>
                      <a:rPr lang="en-US"/>
                      <a:t>Stabilité émotionnelle</a:t>
                    </a:r>
                  </a:p>
                </c:rich>
              </c:tx>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C89-40D0-BD8F-FF8A928C4310}"/>
                </c:ext>
              </c:extLst>
            </c:dLbl>
            <c:dLbl>
              <c:idx val="6"/>
              <c:tx>
                <c:rich>
                  <a:bodyPr/>
                  <a:lstStyle/>
                  <a:p>
                    <a:r>
                      <a:rPr lang="en-US"/>
                      <a:t>Ouverture</a:t>
                    </a:r>
                  </a:p>
                </c:rich>
              </c:tx>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3C89-40D0-BD8F-FF8A928C4310}"/>
                </c:ext>
              </c:extLst>
            </c:dLbl>
            <c:dLbl>
              <c:idx val="8"/>
              <c:tx>
                <c:rich>
                  <a:bodyPr/>
                  <a:lstStyle/>
                  <a:p>
                    <a:r>
                      <a:rPr lang="en-US"/>
                      <a:t>Extraversion</a:t>
                    </a:r>
                  </a:p>
                </c:rich>
              </c:tx>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C89-40D0-BD8F-FF8A928C431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TOTAL!$X$7:$AG$7</c:f>
              <c:numCache>
                <c:formatCode>General</c:formatCode>
                <c:ptCount val="10"/>
                <c:pt idx="0">
                  <c:v>20</c:v>
                </c:pt>
                <c:pt idx="2">
                  <c:v>20</c:v>
                </c:pt>
                <c:pt idx="4">
                  <c:v>20</c:v>
                </c:pt>
                <c:pt idx="6">
                  <c:v>20</c:v>
                </c:pt>
                <c:pt idx="8">
                  <c:v>20</c:v>
                </c:pt>
              </c:numCache>
            </c:numRef>
          </c:val>
          <c:extLst>
            <c:ext xmlns:c16="http://schemas.microsoft.com/office/drawing/2014/chart" uri="{C3380CC4-5D6E-409C-BE32-E72D297353CC}">
              <c16:uniqueId val="{00000001-3C89-40D0-BD8F-FF8A928C4310}"/>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19598458300338"/>
          <c:y val="9.8294370462269756E-2"/>
          <c:w val="0.66797470392569858"/>
          <c:h val="0.75845151400687905"/>
        </c:manualLayout>
      </c:layout>
      <c:radarChart>
        <c:radarStyle val="marker"/>
        <c:varyColors val="0"/>
        <c:ser>
          <c:idx val="0"/>
          <c:order val="0"/>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3-2558-43D0-8162-91B358F92B51}"/>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4-2558-43D0-8162-91B358F92B51}"/>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2558-43D0-8162-91B358F92B51}"/>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6-2558-43D0-8162-91B358F92B51}"/>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7-2558-43D0-8162-91B358F92B51}"/>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8-2558-43D0-8162-91B358F92B51}"/>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9-2558-43D0-8162-91B358F92B51}"/>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A-2558-43D0-8162-91B358F92B51}"/>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2-2558-43D0-8162-91B358F92B51}"/>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1-2558-43D0-8162-91B358F92B51}"/>
              </c:ext>
            </c:extLst>
          </c:dPt>
          <c:dLbls>
            <c:dLbl>
              <c:idx val="0"/>
              <c:tx>
                <c:rich>
                  <a:bodyPr/>
                  <a:lstStyle/>
                  <a:p>
                    <a:r>
                      <a:rPr lang="en-US"/>
                      <a:t>Recherche</a:t>
                    </a:r>
                    <a:r>
                      <a:rPr lang="en-US" baseline="0"/>
                      <a:t> de réussite  5,73</a:t>
                    </a:r>
                    <a:endParaRPr lang="en-US"/>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58-43D0-8162-91B358F92B51}"/>
                </c:ext>
              </c:extLst>
            </c:dLbl>
            <c:dLbl>
              <c:idx val="1"/>
              <c:tx>
                <c:rich>
                  <a:bodyPr/>
                  <a:lstStyle/>
                  <a:p>
                    <a:r>
                      <a:rPr lang="en-US"/>
                      <a:t>Fiabilité 5,18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558-43D0-8162-91B358F92B51}"/>
                </c:ext>
              </c:extLst>
            </c:dLbl>
            <c:dLbl>
              <c:idx val="2"/>
              <c:tx>
                <c:rich>
                  <a:bodyPr/>
                  <a:lstStyle/>
                  <a:p>
                    <a:r>
                      <a:rPr lang="en-US"/>
                      <a:t>Bienveillance</a:t>
                    </a:r>
                    <a:r>
                      <a:rPr lang="en-US" baseline="0"/>
                      <a:t> 4,5</a:t>
                    </a:r>
                    <a:endParaRPr lang="en-US"/>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58-43D0-8162-91B358F92B51}"/>
                </c:ext>
              </c:extLst>
            </c:dLbl>
            <c:dLbl>
              <c:idx val="3"/>
              <c:tx>
                <c:rich>
                  <a:bodyPr/>
                  <a:lstStyle/>
                  <a:p>
                    <a:r>
                      <a:rPr lang="en-US"/>
                      <a:t>Coopérativité 5,31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558-43D0-8162-91B358F92B51}"/>
                </c:ext>
              </c:extLst>
            </c:dLbl>
            <c:dLbl>
              <c:idx val="4"/>
              <c:tx>
                <c:rich>
                  <a:bodyPr/>
                  <a:lstStyle/>
                  <a:p>
                    <a:r>
                      <a:rPr lang="en-US"/>
                      <a:t>Controle des émotions 5,05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558-43D0-8162-91B358F92B51}"/>
                </c:ext>
              </c:extLst>
            </c:dLbl>
            <c:dLbl>
              <c:idx val="5"/>
              <c:tx>
                <c:rich>
                  <a:bodyPr/>
                  <a:lstStyle/>
                  <a:p>
                    <a:r>
                      <a:rPr lang="en-US"/>
                      <a:t>Confiance en soi 5,26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558-43D0-8162-91B358F92B51}"/>
                </c:ext>
              </c:extLst>
            </c:dLbl>
            <c:dLbl>
              <c:idx val="6"/>
              <c:tx>
                <c:rich>
                  <a:bodyPr/>
                  <a:lstStyle/>
                  <a:p>
                    <a:r>
                      <a:rPr lang="en-US"/>
                      <a:t>Sens artistique 5,55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558-43D0-8162-91B358F92B51}"/>
                </c:ext>
              </c:extLst>
            </c:dLbl>
            <c:dLbl>
              <c:idx val="7"/>
              <c:tx>
                <c:rich>
                  <a:bodyPr/>
                  <a:lstStyle/>
                  <a:p>
                    <a:r>
                      <a:rPr lang="en-US"/>
                      <a:t>Flexibilité intellectuelle  50,33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558-43D0-8162-91B358F92B51}"/>
                </c:ext>
              </c:extLst>
            </c:dLbl>
            <c:dLbl>
              <c:idx val="8"/>
              <c:tx>
                <c:rich>
                  <a:bodyPr/>
                  <a:lstStyle/>
                  <a:p>
                    <a:r>
                      <a:rPr lang="en-US"/>
                      <a:t>Sociabilite 5,35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58-43D0-8162-91B358F92B51}"/>
                </c:ext>
              </c:extLst>
            </c:dLbl>
            <c:dLbl>
              <c:idx val="9"/>
              <c:tx>
                <c:rich>
                  <a:bodyPr/>
                  <a:lstStyle/>
                  <a:p>
                    <a:r>
                      <a:rPr lang="en-US"/>
                      <a:t>Leadership 5,35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558-43D0-8162-91B358F92B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TOTAL!$X$8:$AG$8</c:f>
              <c:strCache>
                <c:ptCount val="10"/>
                <c:pt idx="0">
                  <c:v>Recherche la réussite</c:v>
                </c:pt>
                <c:pt idx="1">
                  <c:v>fiabilité</c:v>
                </c:pt>
                <c:pt idx="2">
                  <c:v>Bienveillance</c:v>
                </c:pt>
                <c:pt idx="3">
                  <c:v>Coopérativité</c:v>
                </c:pt>
                <c:pt idx="4">
                  <c:v>Confiance en soi</c:v>
                </c:pt>
                <c:pt idx="5">
                  <c:v>Contrôle des émotions</c:v>
                </c:pt>
                <c:pt idx="6">
                  <c:v>Flexibilité intellectuelle</c:v>
                </c:pt>
                <c:pt idx="7">
                  <c:v>Sens artistique</c:v>
                </c:pt>
                <c:pt idx="8">
                  <c:v>Leadership</c:v>
                </c:pt>
                <c:pt idx="9">
                  <c:v>Sociabilité</c:v>
                </c:pt>
              </c:strCache>
            </c:strRef>
          </c:cat>
          <c:val>
            <c:numRef>
              <c:f>TOTAL!$X$9:$AG$9</c:f>
              <c:numCache>
                <c:formatCode>General</c:formatCode>
                <c:ptCount val="10"/>
                <c:pt idx="0" formatCode="0.00">
                  <c:v>4.5</c:v>
                </c:pt>
                <c:pt idx="1">
                  <c:v>5</c:v>
                </c:pt>
                <c:pt idx="2">
                  <c:v>5.5</c:v>
                </c:pt>
                <c:pt idx="3" formatCode="0.00">
                  <c:v>4.8</c:v>
                </c:pt>
                <c:pt idx="4" formatCode="0.00">
                  <c:v>8</c:v>
                </c:pt>
                <c:pt idx="5">
                  <c:v>6.5</c:v>
                </c:pt>
                <c:pt idx="6" formatCode="0.00">
                  <c:v>3</c:v>
                </c:pt>
                <c:pt idx="7">
                  <c:v>4</c:v>
                </c:pt>
                <c:pt idx="8">
                  <c:v>5.5</c:v>
                </c:pt>
                <c:pt idx="9">
                  <c:v>6</c:v>
                </c:pt>
              </c:numCache>
            </c:numRef>
          </c:val>
          <c:extLst>
            <c:ext xmlns:c16="http://schemas.microsoft.com/office/drawing/2014/chart" uri="{C3380CC4-5D6E-409C-BE32-E72D297353CC}">
              <c16:uniqueId val="{00000000-2558-43D0-8162-91B358F92B51}"/>
            </c:ext>
          </c:extLst>
        </c:ser>
        <c:dLbls>
          <c:showLegendKey val="0"/>
          <c:showVal val="0"/>
          <c:showCatName val="0"/>
          <c:showSerName val="0"/>
          <c:showPercent val="0"/>
          <c:showBubbleSize val="0"/>
        </c:dLbls>
        <c:axId val="602272128"/>
        <c:axId val="602275080"/>
      </c:radarChart>
      <c:catAx>
        <c:axId val="602272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02275080"/>
        <c:crosses val="autoZero"/>
        <c:auto val="1"/>
        <c:lblAlgn val="ctr"/>
        <c:lblOffset val="100"/>
        <c:noMultiLvlLbl val="0"/>
      </c:catAx>
      <c:valAx>
        <c:axId val="602275080"/>
        <c:scaling>
          <c:orientation val="minMax"/>
          <c:max val="10"/>
          <c:min val="0"/>
        </c:scaling>
        <c:delete val="0"/>
        <c:axPos val="l"/>
        <c:majorGridlines>
          <c:spPr>
            <a:ln w="9525" cap="rnd"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02272128"/>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10</xdr:col>
      <xdr:colOff>200025</xdr:colOff>
      <xdr:row>5</xdr:row>
      <xdr:rowOff>47625</xdr:rowOff>
    </xdr:from>
    <xdr:to>
      <xdr:col>34</xdr:col>
      <xdr:colOff>123826</xdr:colOff>
      <xdr:row>26</xdr:row>
      <xdr:rowOff>152400</xdr:rowOff>
    </xdr:to>
    <xdr:graphicFrame macro="">
      <xdr:nvGraphicFramePr>
        <xdr:cNvPr id="3" name="Graphique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25</xdr:col>
      <xdr:colOff>502228</xdr:colOff>
      <xdr:row>13</xdr:row>
      <xdr:rowOff>164523</xdr:rowOff>
    </xdr:from>
    <xdr:to>
      <xdr:col>33</xdr:col>
      <xdr:colOff>103910</xdr:colOff>
      <xdr:row>46</xdr:row>
      <xdr:rowOff>51955</xdr:rowOff>
    </xdr:to>
    <xdr:graphicFrame macro="">
      <xdr:nvGraphicFramePr>
        <xdr:cNvPr id="10" name="Graphique 9">
          <a:extLst>
            <a:ext uri="{FF2B5EF4-FFF2-40B4-BE49-F238E27FC236}">
              <a16:creationId xmlns:a16="http://schemas.microsoft.com/office/drawing/2014/main" id="{2517B5B0-5A06-480C-A904-BB2B53622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60960</xdr:colOff>
      <xdr:row>18</xdr:row>
      <xdr:rowOff>30480</xdr:rowOff>
    </xdr:from>
    <xdr:to>
      <xdr:col>30</xdr:col>
      <xdr:colOff>944880</xdr:colOff>
      <xdr:row>42</xdr:row>
      <xdr:rowOff>147897</xdr:rowOff>
    </xdr:to>
    <xdr:graphicFrame macro="">
      <xdr:nvGraphicFramePr>
        <xdr:cNvPr id="11" name="Graphique 10">
          <a:extLst>
            <a:ext uri="{FF2B5EF4-FFF2-40B4-BE49-F238E27FC236}">
              <a16:creationId xmlns:a16="http://schemas.microsoft.com/office/drawing/2014/main" id="{1E4DC85F-7FBE-4944-B7A1-62ACEBF98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37352</xdr:colOff>
      <xdr:row>0</xdr:row>
      <xdr:rowOff>22411</xdr:rowOff>
    </xdr:from>
    <xdr:to>
      <xdr:col>2</xdr:col>
      <xdr:colOff>395939</xdr:colOff>
      <xdr:row>2</xdr:row>
      <xdr:rowOff>118520</xdr:rowOff>
    </xdr:to>
    <xdr:pic>
      <xdr:nvPicPr>
        <xdr:cNvPr id="3" name="Image 2" descr="logo_mobilis_web">
          <a:extLst>
            <a:ext uri="{FF2B5EF4-FFF2-40B4-BE49-F238E27FC236}">
              <a16:creationId xmlns:a16="http://schemas.microsoft.com/office/drawing/2014/main" id="{393A4277-E0E1-43CD-B2CD-D120ABF209C7}"/>
            </a:ext>
          </a:extLst>
        </xdr:cNvPr>
        <xdr:cNvPicPr/>
      </xdr:nvPicPr>
      <xdr:blipFill>
        <a:blip xmlns:r="http://schemas.openxmlformats.org/officeDocument/2006/relationships" r:embed="rId1"/>
        <a:srcRect/>
        <a:stretch>
          <a:fillRect/>
        </a:stretch>
      </xdr:blipFill>
      <xdr:spPr bwMode="auto">
        <a:xfrm>
          <a:off x="829234" y="22411"/>
          <a:ext cx="1262529" cy="45469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24"/>
  <sheetViews>
    <sheetView topLeftCell="A239" zoomScaleNormal="100" workbookViewId="0">
      <selection activeCell="B258" sqref="B258"/>
    </sheetView>
  </sheetViews>
  <sheetFormatPr baseColWidth="10" defaultRowHeight="14.4" x14ac:dyDescent="0.3"/>
  <cols>
    <col min="1" max="1" width="12.44140625" style="33" bestFit="1" customWidth="1"/>
    <col min="2" max="2" width="16.109375" style="20" customWidth="1"/>
    <col min="3" max="3" width="95" style="20" customWidth="1"/>
    <col min="4" max="4" width="13" style="20" bestFit="1" customWidth="1"/>
    <col min="5" max="5" width="15.6640625" style="20" customWidth="1"/>
    <col min="6" max="8" width="11.44140625" style="20"/>
  </cols>
  <sheetData>
    <row r="2" spans="1:8" x14ac:dyDescent="0.3">
      <c r="B2" s="20" t="s">
        <v>0</v>
      </c>
    </row>
    <row r="4" spans="1:8" x14ac:dyDescent="0.3">
      <c r="C4" s="21"/>
      <c r="D4" s="22" t="s">
        <v>1</v>
      </c>
      <c r="E4" s="22" t="s">
        <v>2</v>
      </c>
      <c r="F4" s="22" t="s">
        <v>3</v>
      </c>
      <c r="G4" s="22" t="s">
        <v>4</v>
      </c>
    </row>
    <row r="5" spans="1:8" x14ac:dyDescent="0.3">
      <c r="C5" s="21"/>
      <c r="D5" s="22"/>
      <c r="E5" s="22" t="s">
        <v>5</v>
      </c>
      <c r="F5" s="22"/>
      <c r="G5" s="22"/>
    </row>
    <row r="7" spans="1:8" x14ac:dyDescent="0.3">
      <c r="B7" s="20" t="s">
        <v>6</v>
      </c>
      <c r="E7" s="20" t="s">
        <v>7</v>
      </c>
      <c r="H7" s="20" t="s">
        <v>439</v>
      </c>
    </row>
    <row r="9" spans="1:8" x14ac:dyDescent="0.3">
      <c r="B9" s="20" t="s">
        <v>8</v>
      </c>
      <c r="C9" s="20" t="s">
        <v>56</v>
      </c>
      <c r="D9" s="20" t="s">
        <v>57</v>
      </c>
      <c r="E9" s="20" t="s">
        <v>9</v>
      </c>
      <c r="F9" s="20" t="s">
        <v>58</v>
      </c>
    </row>
    <row r="11" spans="1:8" s="2" customFormat="1" x14ac:dyDescent="0.3">
      <c r="A11" s="34" t="s">
        <v>326</v>
      </c>
      <c r="B11" s="23"/>
      <c r="C11" s="24" t="s">
        <v>10</v>
      </c>
      <c r="D11" s="25"/>
      <c r="E11" s="25"/>
      <c r="F11" s="25"/>
      <c r="G11" s="25"/>
      <c r="H11" s="25"/>
    </row>
    <row r="12" spans="1:8" x14ac:dyDescent="0.3">
      <c r="A12" s="136"/>
      <c r="B12" s="22">
        <v>1</v>
      </c>
      <c r="C12" s="22" t="s">
        <v>11</v>
      </c>
    </row>
    <row r="13" spans="1:8" x14ac:dyDescent="0.3">
      <c r="A13" s="136"/>
      <c r="B13" s="22">
        <v>2</v>
      </c>
      <c r="C13" s="26" t="s">
        <v>59</v>
      </c>
    </row>
    <row r="14" spans="1:8" x14ac:dyDescent="0.3">
      <c r="A14" s="136"/>
      <c r="B14" s="22">
        <v>3</v>
      </c>
      <c r="C14" s="22" t="s">
        <v>66</v>
      </c>
    </row>
    <row r="15" spans="1:8" x14ac:dyDescent="0.3">
      <c r="A15" s="136"/>
      <c r="B15" s="22">
        <v>4</v>
      </c>
      <c r="C15" s="26" t="s">
        <v>12</v>
      </c>
    </row>
    <row r="16" spans="1:8" x14ac:dyDescent="0.3">
      <c r="A16" s="136"/>
      <c r="B16" s="22">
        <v>5</v>
      </c>
      <c r="C16" s="26" t="s">
        <v>13</v>
      </c>
    </row>
    <row r="17" spans="1:3" x14ac:dyDescent="0.3">
      <c r="A17" s="136"/>
      <c r="B17" s="22">
        <v>6</v>
      </c>
      <c r="C17" s="26" t="s">
        <v>14</v>
      </c>
    </row>
    <row r="18" spans="1:3" x14ac:dyDescent="0.3">
      <c r="A18" s="136"/>
      <c r="B18" s="22">
        <v>7</v>
      </c>
      <c r="C18" s="26" t="s">
        <v>15</v>
      </c>
    </row>
    <row r="19" spans="1:3" x14ac:dyDescent="0.3">
      <c r="A19" s="136"/>
      <c r="B19" s="22">
        <v>8</v>
      </c>
      <c r="C19" s="26" t="s">
        <v>64</v>
      </c>
    </row>
    <row r="20" spans="1:3" x14ac:dyDescent="0.3">
      <c r="A20" s="136"/>
      <c r="B20" s="22">
        <v>9</v>
      </c>
      <c r="C20" s="26" t="s">
        <v>16</v>
      </c>
    </row>
    <row r="21" spans="1:3" x14ac:dyDescent="0.3">
      <c r="A21" s="136"/>
      <c r="B21" s="22">
        <v>10</v>
      </c>
      <c r="C21" s="26" t="s">
        <v>17</v>
      </c>
    </row>
    <row r="22" spans="1:3" x14ac:dyDescent="0.3">
      <c r="A22" s="136"/>
      <c r="B22" s="22">
        <v>11</v>
      </c>
      <c r="C22" s="26" t="s">
        <v>18</v>
      </c>
    </row>
    <row r="23" spans="1:3" x14ac:dyDescent="0.3">
      <c r="A23" s="136"/>
      <c r="B23" s="22">
        <v>12</v>
      </c>
      <c r="C23" s="26" t="s">
        <v>19</v>
      </c>
    </row>
    <row r="24" spans="1:3" x14ac:dyDescent="0.3">
      <c r="A24" s="136"/>
      <c r="B24" s="22">
        <v>13</v>
      </c>
      <c r="C24" s="26" t="s">
        <v>20</v>
      </c>
    </row>
    <row r="25" spans="1:3" x14ac:dyDescent="0.3">
      <c r="A25" s="136"/>
      <c r="B25" s="22">
        <v>14</v>
      </c>
      <c r="C25" s="26" t="s">
        <v>21</v>
      </c>
    </row>
    <row r="26" spans="1:3" x14ac:dyDescent="0.3">
      <c r="A26" s="136"/>
      <c r="B26" s="22">
        <v>15</v>
      </c>
      <c r="C26" s="26" t="s">
        <v>22</v>
      </c>
    </row>
    <row r="27" spans="1:3" x14ac:dyDescent="0.3">
      <c r="A27" s="136"/>
      <c r="B27" s="22">
        <v>16</v>
      </c>
      <c r="C27" s="26" t="s">
        <v>23</v>
      </c>
    </row>
    <row r="28" spans="1:3" x14ac:dyDescent="0.3">
      <c r="A28" s="136"/>
      <c r="B28" s="22">
        <v>17</v>
      </c>
      <c r="C28" s="26" t="s">
        <v>24</v>
      </c>
    </row>
    <row r="29" spans="1:3" x14ac:dyDescent="0.3">
      <c r="A29" s="136"/>
      <c r="B29" s="22">
        <v>18</v>
      </c>
      <c r="C29" s="26" t="s">
        <v>25</v>
      </c>
    </row>
    <row r="30" spans="1:3" x14ac:dyDescent="0.3">
      <c r="A30" s="136"/>
      <c r="B30" s="22">
        <v>19</v>
      </c>
      <c r="C30" s="26" t="s">
        <v>63</v>
      </c>
    </row>
    <row r="31" spans="1:3" x14ac:dyDescent="0.3">
      <c r="A31" s="136"/>
      <c r="B31" s="22">
        <v>20</v>
      </c>
      <c r="C31" s="26" t="s">
        <v>26</v>
      </c>
    </row>
    <row r="32" spans="1:3" x14ac:dyDescent="0.3">
      <c r="A32" s="136"/>
      <c r="B32" s="22">
        <v>21</v>
      </c>
      <c r="C32" s="26" t="s">
        <v>27</v>
      </c>
    </row>
    <row r="33" spans="1:3" x14ac:dyDescent="0.3">
      <c r="A33" s="136"/>
      <c r="B33" s="22">
        <v>22</v>
      </c>
      <c r="C33" s="26" t="s">
        <v>28</v>
      </c>
    </row>
    <row r="34" spans="1:3" x14ac:dyDescent="0.3">
      <c r="A34" s="136"/>
      <c r="B34" s="22">
        <v>23</v>
      </c>
      <c r="C34" s="26" t="s">
        <v>29</v>
      </c>
    </row>
    <row r="35" spans="1:3" x14ac:dyDescent="0.3">
      <c r="A35" s="136"/>
      <c r="B35" s="22">
        <v>24</v>
      </c>
      <c r="C35" s="26" t="s">
        <v>30</v>
      </c>
    </row>
    <row r="36" spans="1:3" x14ac:dyDescent="0.3">
      <c r="A36" s="136"/>
      <c r="B36" s="22">
        <v>25</v>
      </c>
      <c r="C36" s="26" t="s">
        <v>31</v>
      </c>
    </row>
    <row r="37" spans="1:3" x14ac:dyDescent="0.3">
      <c r="A37" s="136"/>
      <c r="B37" s="22">
        <v>26</v>
      </c>
      <c r="C37" s="27" t="s">
        <v>62</v>
      </c>
    </row>
    <row r="38" spans="1:3" x14ac:dyDescent="0.3">
      <c r="A38" s="136"/>
      <c r="B38" s="22">
        <v>27</v>
      </c>
      <c r="C38" s="26" t="s">
        <v>32</v>
      </c>
    </row>
    <row r="39" spans="1:3" x14ac:dyDescent="0.3">
      <c r="A39" s="136"/>
      <c r="B39" s="22">
        <v>28</v>
      </c>
      <c r="C39" s="27" t="s">
        <v>60</v>
      </c>
    </row>
    <row r="40" spans="1:3" x14ac:dyDescent="0.3">
      <c r="A40" s="136"/>
      <c r="B40" s="22">
        <v>29</v>
      </c>
      <c r="C40" s="26" t="s">
        <v>61</v>
      </c>
    </row>
    <row r="41" spans="1:3" x14ac:dyDescent="0.3">
      <c r="A41" s="136"/>
      <c r="B41" s="22">
        <v>30</v>
      </c>
      <c r="C41" s="26" t="s">
        <v>33</v>
      </c>
    </row>
    <row r="42" spans="1:3" x14ac:dyDescent="0.3">
      <c r="A42" s="136"/>
      <c r="B42" s="22">
        <v>31</v>
      </c>
      <c r="C42" s="26" t="s">
        <v>34</v>
      </c>
    </row>
    <row r="43" spans="1:3" x14ac:dyDescent="0.3">
      <c r="A43" s="136"/>
      <c r="B43" s="22">
        <v>32</v>
      </c>
      <c r="C43" s="26" t="s">
        <v>35</v>
      </c>
    </row>
    <row r="44" spans="1:3" x14ac:dyDescent="0.3">
      <c r="A44" s="136"/>
      <c r="B44" s="22">
        <v>33</v>
      </c>
      <c r="C44" s="27" t="s">
        <v>36</v>
      </c>
    </row>
    <row r="45" spans="1:3" x14ac:dyDescent="0.3">
      <c r="A45" s="136"/>
      <c r="B45" s="22">
        <v>34</v>
      </c>
      <c r="C45" s="26" t="s">
        <v>329</v>
      </c>
    </row>
    <row r="46" spans="1:3" x14ac:dyDescent="0.3">
      <c r="A46" s="136"/>
      <c r="B46" s="22">
        <v>35</v>
      </c>
      <c r="C46" s="26" t="s">
        <v>330</v>
      </c>
    </row>
    <row r="47" spans="1:3" x14ac:dyDescent="0.3">
      <c r="A47" s="136"/>
      <c r="B47" s="22">
        <v>36</v>
      </c>
      <c r="C47" s="26" t="s">
        <v>37</v>
      </c>
    </row>
    <row r="48" spans="1:3" x14ac:dyDescent="0.3">
      <c r="A48" s="136"/>
      <c r="B48" s="22">
        <v>37</v>
      </c>
      <c r="C48" s="26" t="s">
        <v>38</v>
      </c>
    </row>
    <row r="49" spans="1:3" x14ac:dyDescent="0.3">
      <c r="A49" s="136"/>
      <c r="B49" s="22">
        <v>38</v>
      </c>
      <c r="C49" s="26" t="s">
        <v>39</v>
      </c>
    </row>
    <row r="50" spans="1:3" x14ac:dyDescent="0.3">
      <c r="A50" s="136"/>
      <c r="B50" s="22">
        <v>39</v>
      </c>
      <c r="C50" s="26" t="s">
        <v>40</v>
      </c>
    </row>
    <row r="51" spans="1:3" x14ac:dyDescent="0.3">
      <c r="A51" s="136"/>
      <c r="B51" s="22">
        <v>40</v>
      </c>
      <c r="C51" s="26" t="s">
        <v>41</v>
      </c>
    </row>
    <row r="52" spans="1:3" x14ac:dyDescent="0.3">
      <c r="A52" s="136"/>
      <c r="B52" s="22">
        <v>41</v>
      </c>
      <c r="C52" s="26" t="s">
        <v>42</v>
      </c>
    </row>
    <row r="53" spans="1:3" x14ac:dyDescent="0.3">
      <c r="A53" s="136"/>
      <c r="B53" s="22">
        <v>42</v>
      </c>
      <c r="C53" s="26" t="s">
        <v>43</v>
      </c>
    </row>
    <row r="54" spans="1:3" x14ac:dyDescent="0.3">
      <c r="A54" s="136"/>
      <c r="B54" s="22">
        <v>43</v>
      </c>
      <c r="C54" s="26" t="s">
        <v>44</v>
      </c>
    </row>
    <row r="55" spans="1:3" x14ac:dyDescent="0.3">
      <c r="A55" s="136"/>
      <c r="B55" s="22">
        <v>44</v>
      </c>
      <c r="C55" s="26" t="s">
        <v>45</v>
      </c>
    </row>
    <row r="56" spans="1:3" ht="28.8" x14ac:dyDescent="0.3">
      <c r="A56" s="136"/>
      <c r="B56" s="29">
        <v>45</v>
      </c>
      <c r="C56" s="27" t="s">
        <v>46</v>
      </c>
    </row>
    <row r="57" spans="1:3" x14ac:dyDescent="0.3">
      <c r="A57" s="136"/>
      <c r="B57" s="22">
        <v>46</v>
      </c>
      <c r="C57" s="26" t="s">
        <v>47</v>
      </c>
    </row>
    <row r="58" spans="1:3" x14ac:dyDescent="0.3">
      <c r="A58" s="136"/>
      <c r="B58" s="22">
        <v>47</v>
      </c>
      <c r="C58" s="26" t="s">
        <v>48</v>
      </c>
    </row>
    <row r="59" spans="1:3" x14ac:dyDescent="0.3">
      <c r="A59" s="136"/>
      <c r="B59" s="22">
        <v>48</v>
      </c>
      <c r="C59" s="26" t="s">
        <v>49</v>
      </c>
    </row>
    <row r="60" spans="1:3" x14ac:dyDescent="0.3">
      <c r="A60" s="136"/>
      <c r="B60" s="22">
        <v>49</v>
      </c>
      <c r="C60" s="26" t="s">
        <v>70</v>
      </c>
    </row>
    <row r="61" spans="1:3" x14ac:dyDescent="0.3">
      <c r="A61" s="136"/>
      <c r="B61" s="22">
        <v>50</v>
      </c>
      <c r="C61" s="26" t="s">
        <v>50</v>
      </c>
    </row>
    <row r="62" spans="1:3" x14ac:dyDescent="0.3">
      <c r="A62" s="136"/>
      <c r="B62" s="22">
        <v>51</v>
      </c>
      <c r="C62" s="22" t="s">
        <v>67</v>
      </c>
    </row>
    <row r="63" spans="1:3" x14ac:dyDescent="0.3">
      <c r="A63" s="136"/>
      <c r="B63" s="22">
        <v>52</v>
      </c>
      <c r="C63" s="22" t="s">
        <v>68</v>
      </c>
    </row>
    <row r="64" spans="1:3" x14ac:dyDescent="0.3">
      <c r="A64" s="136"/>
      <c r="B64" s="22">
        <v>53</v>
      </c>
      <c r="C64" s="22" t="s">
        <v>69</v>
      </c>
    </row>
    <row r="65" spans="1:3" x14ac:dyDescent="0.3">
      <c r="A65" s="136"/>
      <c r="B65" s="22">
        <v>54</v>
      </c>
      <c r="C65" s="28" t="s">
        <v>71</v>
      </c>
    </row>
    <row r="66" spans="1:3" x14ac:dyDescent="0.3">
      <c r="A66" s="136"/>
      <c r="B66" s="22">
        <v>55</v>
      </c>
      <c r="C66" s="26" t="s">
        <v>72</v>
      </c>
    </row>
    <row r="67" spans="1:3" x14ac:dyDescent="0.3">
      <c r="A67" s="136"/>
      <c r="B67" s="22">
        <v>56</v>
      </c>
      <c r="C67" s="28" t="s">
        <v>73</v>
      </c>
    </row>
    <row r="68" spans="1:3" x14ac:dyDescent="0.3">
      <c r="A68" s="136"/>
      <c r="B68" s="22">
        <v>57</v>
      </c>
      <c r="C68" s="22" t="s">
        <v>74</v>
      </c>
    </row>
    <row r="69" spans="1:3" ht="28.8" x14ac:dyDescent="0.3">
      <c r="A69" s="136"/>
      <c r="B69" s="29">
        <v>58</v>
      </c>
      <c r="C69" s="44" t="s">
        <v>75</v>
      </c>
    </row>
    <row r="70" spans="1:3" x14ac:dyDescent="0.3">
      <c r="A70" s="136"/>
      <c r="B70" s="22">
        <v>59</v>
      </c>
      <c r="C70" s="22" t="s">
        <v>76</v>
      </c>
    </row>
    <row r="71" spans="1:3" x14ac:dyDescent="0.3">
      <c r="A71" s="136"/>
      <c r="B71" s="22">
        <v>60</v>
      </c>
      <c r="C71" s="28" t="s">
        <v>77</v>
      </c>
    </row>
    <row r="72" spans="1:3" x14ac:dyDescent="0.3">
      <c r="A72" s="136"/>
      <c r="B72" s="22">
        <v>61</v>
      </c>
      <c r="C72" s="22" t="s">
        <v>78</v>
      </c>
    </row>
    <row r="73" spans="1:3" x14ac:dyDescent="0.3">
      <c r="A73" s="136"/>
      <c r="B73" s="22">
        <v>62</v>
      </c>
      <c r="C73" s="22" t="s">
        <v>79</v>
      </c>
    </row>
    <row r="74" spans="1:3" x14ac:dyDescent="0.3">
      <c r="A74" s="136"/>
      <c r="B74" s="22">
        <v>63</v>
      </c>
      <c r="C74" s="28" t="s">
        <v>80</v>
      </c>
    </row>
    <row r="75" spans="1:3" x14ac:dyDescent="0.3">
      <c r="A75" s="136"/>
      <c r="B75" s="22">
        <v>64</v>
      </c>
      <c r="C75" s="26" t="s">
        <v>81</v>
      </c>
    </row>
    <row r="76" spans="1:3" x14ac:dyDescent="0.3">
      <c r="A76" s="136"/>
      <c r="B76" s="22">
        <v>65</v>
      </c>
      <c r="C76" s="22" t="s">
        <v>82</v>
      </c>
    </row>
    <row r="77" spans="1:3" x14ac:dyDescent="0.3">
      <c r="A77" s="136"/>
      <c r="B77" s="22">
        <v>66</v>
      </c>
      <c r="C77" s="22" t="s">
        <v>83</v>
      </c>
    </row>
    <row r="78" spans="1:3" x14ac:dyDescent="0.3">
      <c r="A78" s="136"/>
      <c r="B78" s="22">
        <v>67</v>
      </c>
      <c r="C78" s="27" t="s">
        <v>86</v>
      </c>
    </row>
    <row r="79" spans="1:3" x14ac:dyDescent="0.3">
      <c r="A79" s="136"/>
      <c r="B79" s="22">
        <v>68</v>
      </c>
      <c r="C79" s="26" t="s">
        <v>84</v>
      </c>
    </row>
    <row r="80" spans="1:3" x14ac:dyDescent="0.3">
      <c r="A80" s="136"/>
      <c r="B80" s="22">
        <v>69</v>
      </c>
      <c r="C80" s="26" t="s">
        <v>85</v>
      </c>
    </row>
    <row r="81" spans="1:3" x14ac:dyDescent="0.3">
      <c r="A81" s="136"/>
      <c r="B81" s="22">
        <v>70</v>
      </c>
      <c r="C81" s="28" t="s">
        <v>87</v>
      </c>
    </row>
    <row r="82" spans="1:3" x14ac:dyDescent="0.3">
      <c r="A82" s="136"/>
      <c r="B82" s="22">
        <v>71</v>
      </c>
      <c r="C82" s="22" t="s">
        <v>88</v>
      </c>
    </row>
    <row r="83" spans="1:3" x14ac:dyDescent="0.3">
      <c r="A83" s="136"/>
      <c r="B83" s="22">
        <v>72</v>
      </c>
      <c r="C83" s="28" t="s">
        <v>89</v>
      </c>
    </row>
    <row r="84" spans="1:3" x14ac:dyDescent="0.3">
      <c r="A84" s="136"/>
      <c r="B84" s="22">
        <v>73</v>
      </c>
      <c r="C84" s="26" t="s">
        <v>90</v>
      </c>
    </row>
    <row r="85" spans="1:3" x14ac:dyDescent="0.3">
      <c r="A85" s="136"/>
      <c r="B85" s="22">
        <v>74</v>
      </c>
      <c r="C85" s="26" t="s">
        <v>331</v>
      </c>
    </row>
    <row r="86" spans="1:3" x14ac:dyDescent="0.3">
      <c r="A86" s="136"/>
      <c r="B86" s="22">
        <v>75</v>
      </c>
      <c r="C86" s="26" t="s">
        <v>91</v>
      </c>
    </row>
    <row r="87" spans="1:3" x14ac:dyDescent="0.3">
      <c r="A87" s="136"/>
      <c r="B87" s="22">
        <v>76</v>
      </c>
      <c r="C87" s="26" t="s">
        <v>92</v>
      </c>
    </row>
    <row r="88" spans="1:3" x14ac:dyDescent="0.3">
      <c r="A88" s="136"/>
      <c r="B88" s="22">
        <v>77</v>
      </c>
      <c r="C88" s="28" t="s">
        <v>93</v>
      </c>
    </row>
    <row r="89" spans="1:3" x14ac:dyDescent="0.3">
      <c r="A89" s="136"/>
      <c r="B89" s="22">
        <v>78</v>
      </c>
      <c r="C89" s="26" t="s">
        <v>94</v>
      </c>
    </row>
    <row r="90" spans="1:3" x14ac:dyDescent="0.3">
      <c r="A90" s="136"/>
      <c r="B90" s="22">
        <v>79</v>
      </c>
      <c r="C90" s="28" t="s">
        <v>95</v>
      </c>
    </row>
    <row r="91" spans="1:3" ht="28.8" x14ac:dyDescent="0.3">
      <c r="A91" s="136"/>
      <c r="B91" s="29">
        <v>80</v>
      </c>
      <c r="C91" s="27" t="s">
        <v>96</v>
      </c>
    </row>
    <row r="92" spans="1:3" x14ac:dyDescent="0.3">
      <c r="A92" s="136"/>
      <c r="B92" s="22">
        <v>81</v>
      </c>
      <c r="C92" s="22" t="s">
        <v>97</v>
      </c>
    </row>
    <row r="93" spans="1:3" x14ac:dyDescent="0.3">
      <c r="A93" s="136"/>
      <c r="B93" s="22">
        <v>82</v>
      </c>
      <c r="C93" s="22" t="s">
        <v>98</v>
      </c>
    </row>
    <row r="94" spans="1:3" x14ac:dyDescent="0.3">
      <c r="A94" s="136"/>
      <c r="B94" s="22">
        <v>83</v>
      </c>
      <c r="C94" s="28" t="s">
        <v>99</v>
      </c>
    </row>
    <row r="95" spans="1:3" x14ac:dyDescent="0.3">
      <c r="A95" s="136"/>
      <c r="B95" s="22">
        <v>84</v>
      </c>
      <c r="C95" s="26" t="s">
        <v>100</v>
      </c>
    </row>
    <row r="96" spans="1:3" x14ac:dyDescent="0.3">
      <c r="A96" s="136"/>
      <c r="B96" s="22">
        <v>85</v>
      </c>
      <c r="C96" s="28" t="s">
        <v>101</v>
      </c>
    </row>
    <row r="97" spans="1:3" x14ac:dyDescent="0.3">
      <c r="A97" s="136"/>
      <c r="B97" s="22">
        <v>86</v>
      </c>
      <c r="C97" s="27" t="s">
        <v>102</v>
      </c>
    </row>
    <row r="98" spans="1:3" x14ac:dyDescent="0.3">
      <c r="A98" s="136"/>
      <c r="B98" s="22">
        <v>87</v>
      </c>
      <c r="C98" s="28" t="s">
        <v>103</v>
      </c>
    </row>
    <row r="99" spans="1:3" ht="28.8" x14ac:dyDescent="0.3">
      <c r="A99" s="136"/>
      <c r="B99" s="29">
        <v>88</v>
      </c>
      <c r="C99" s="31" t="s">
        <v>332</v>
      </c>
    </row>
    <row r="100" spans="1:3" x14ac:dyDescent="0.3">
      <c r="A100" s="136"/>
      <c r="B100" s="22">
        <v>89</v>
      </c>
      <c r="C100" s="26" t="s">
        <v>104</v>
      </c>
    </row>
    <row r="101" spans="1:3" x14ac:dyDescent="0.3">
      <c r="A101" s="136"/>
      <c r="B101" s="22">
        <v>90</v>
      </c>
      <c r="C101" s="28" t="s">
        <v>105</v>
      </c>
    </row>
    <row r="102" spans="1:3" x14ac:dyDescent="0.3">
      <c r="A102" s="136"/>
      <c r="B102" s="22">
        <v>91</v>
      </c>
      <c r="C102" s="26" t="s">
        <v>106</v>
      </c>
    </row>
    <row r="103" spans="1:3" x14ac:dyDescent="0.3">
      <c r="A103" s="136"/>
      <c r="B103" s="22">
        <v>92</v>
      </c>
      <c r="C103" s="22" t="s">
        <v>107</v>
      </c>
    </row>
    <row r="104" spans="1:3" x14ac:dyDescent="0.3">
      <c r="A104" s="136"/>
      <c r="B104" s="22">
        <v>93</v>
      </c>
      <c r="C104" s="28" t="s">
        <v>108</v>
      </c>
    </row>
    <row r="105" spans="1:3" x14ac:dyDescent="0.3">
      <c r="A105" s="136"/>
      <c r="B105" s="22">
        <v>94</v>
      </c>
      <c r="C105" s="26" t="s">
        <v>109</v>
      </c>
    </row>
    <row r="106" spans="1:3" x14ac:dyDescent="0.3">
      <c r="A106" s="136"/>
      <c r="B106" s="22">
        <v>95</v>
      </c>
      <c r="C106" s="28" t="s">
        <v>110</v>
      </c>
    </row>
    <row r="107" spans="1:3" x14ac:dyDescent="0.3">
      <c r="A107" s="136"/>
      <c r="B107" s="22">
        <v>96</v>
      </c>
      <c r="C107" s="26" t="s">
        <v>111</v>
      </c>
    </row>
    <row r="108" spans="1:3" x14ac:dyDescent="0.3">
      <c r="A108" s="136"/>
      <c r="B108" s="22">
        <v>97</v>
      </c>
      <c r="C108" s="28" t="s">
        <v>112</v>
      </c>
    </row>
    <row r="109" spans="1:3" x14ac:dyDescent="0.3">
      <c r="A109" s="136"/>
      <c r="B109" s="22">
        <v>98</v>
      </c>
      <c r="C109" s="26" t="s">
        <v>113</v>
      </c>
    </row>
    <row r="110" spans="1:3" x14ac:dyDescent="0.3">
      <c r="A110" s="136"/>
      <c r="B110" s="22">
        <v>99</v>
      </c>
      <c r="C110" s="28" t="s">
        <v>114</v>
      </c>
    </row>
    <row r="111" spans="1:3" x14ac:dyDescent="0.3">
      <c r="A111" s="136"/>
      <c r="B111" s="22">
        <v>100</v>
      </c>
      <c r="C111" s="26" t="s">
        <v>115</v>
      </c>
    </row>
    <row r="112" spans="1:3" x14ac:dyDescent="0.3">
      <c r="A112" s="136"/>
      <c r="B112" s="22">
        <v>101</v>
      </c>
      <c r="C112" s="28" t="s">
        <v>116</v>
      </c>
    </row>
    <row r="113" spans="1:3" x14ac:dyDescent="0.3">
      <c r="A113" s="136"/>
      <c r="B113" s="22">
        <v>102</v>
      </c>
      <c r="C113" s="26" t="s">
        <v>117</v>
      </c>
    </row>
    <row r="114" spans="1:3" x14ac:dyDescent="0.3">
      <c r="A114" s="136"/>
      <c r="B114" s="22">
        <v>103</v>
      </c>
      <c r="C114" s="28" t="s">
        <v>118</v>
      </c>
    </row>
    <row r="115" spans="1:3" x14ac:dyDescent="0.3">
      <c r="A115" s="136"/>
      <c r="B115" s="22">
        <v>104</v>
      </c>
      <c r="C115" s="26" t="s">
        <v>119</v>
      </c>
    </row>
    <row r="116" spans="1:3" ht="28.8" x14ac:dyDescent="0.3">
      <c r="A116" s="136"/>
      <c r="B116" s="29">
        <v>105</v>
      </c>
      <c r="C116" s="30" t="s">
        <v>120</v>
      </c>
    </row>
    <row r="117" spans="1:3" x14ac:dyDescent="0.3">
      <c r="A117" s="136"/>
      <c r="B117" s="22">
        <v>106</v>
      </c>
      <c r="C117" s="26" t="s">
        <v>121</v>
      </c>
    </row>
    <row r="118" spans="1:3" x14ac:dyDescent="0.3">
      <c r="A118" s="136"/>
      <c r="B118" s="22">
        <v>107</v>
      </c>
      <c r="C118" s="28" t="s">
        <v>333</v>
      </c>
    </row>
    <row r="119" spans="1:3" x14ac:dyDescent="0.3">
      <c r="A119" s="136"/>
      <c r="B119" s="22">
        <v>108</v>
      </c>
      <c r="C119" s="26" t="s">
        <v>122</v>
      </c>
    </row>
    <row r="120" spans="1:3" x14ac:dyDescent="0.3">
      <c r="A120" s="136"/>
      <c r="B120" s="22">
        <v>109</v>
      </c>
      <c r="C120" s="28" t="s">
        <v>123</v>
      </c>
    </row>
    <row r="121" spans="1:3" x14ac:dyDescent="0.3">
      <c r="A121" s="136"/>
      <c r="B121" s="22">
        <v>110</v>
      </c>
      <c r="C121" s="26" t="s">
        <v>124</v>
      </c>
    </row>
    <row r="122" spans="1:3" x14ac:dyDescent="0.3">
      <c r="A122" s="136"/>
      <c r="B122" s="22">
        <v>111</v>
      </c>
      <c r="C122" s="28" t="s">
        <v>328</v>
      </c>
    </row>
    <row r="123" spans="1:3" x14ac:dyDescent="0.3">
      <c r="A123" s="136"/>
      <c r="B123" s="22">
        <v>112</v>
      </c>
      <c r="C123" s="26" t="s">
        <v>125</v>
      </c>
    </row>
    <row r="124" spans="1:3" x14ac:dyDescent="0.3">
      <c r="A124" s="136"/>
      <c r="B124" s="22">
        <v>113</v>
      </c>
      <c r="C124" s="28" t="s">
        <v>126</v>
      </c>
    </row>
    <row r="125" spans="1:3" x14ac:dyDescent="0.3">
      <c r="A125" s="136"/>
      <c r="B125" s="22">
        <v>114</v>
      </c>
      <c r="C125" s="26" t="s">
        <v>127</v>
      </c>
    </row>
    <row r="126" spans="1:3" x14ac:dyDescent="0.3">
      <c r="A126" s="136"/>
      <c r="B126" s="22">
        <v>115</v>
      </c>
      <c r="C126" s="28" t="s">
        <v>128</v>
      </c>
    </row>
    <row r="127" spans="1:3" x14ac:dyDescent="0.3">
      <c r="A127" s="136"/>
      <c r="B127" s="22">
        <v>116</v>
      </c>
      <c r="C127" s="26" t="s">
        <v>129</v>
      </c>
    </row>
    <row r="128" spans="1:3" x14ac:dyDescent="0.3">
      <c r="A128" s="136"/>
      <c r="B128" s="22">
        <v>117</v>
      </c>
      <c r="C128" s="28" t="s">
        <v>130</v>
      </c>
    </row>
    <row r="129" spans="1:3" ht="28.8" x14ac:dyDescent="0.3">
      <c r="A129" s="136"/>
      <c r="B129" s="22">
        <v>118</v>
      </c>
      <c r="C129" s="27" t="s">
        <v>327</v>
      </c>
    </row>
    <row r="130" spans="1:3" x14ac:dyDescent="0.3">
      <c r="A130" s="136"/>
      <c r="B130" s="22">
        <v>119</v>
      </c>
      <c r="C130" s="26" t="s">
        <v>131</v>
      </c>
    </row>
    <row r="131" spans="1:3" x14ac:dyDescent="0.3">
      <c r="A131" s="136"/>
      <c r="B131" s="22">
        <v>120</v>
      </c>
      <c r="C131" s="28" t="s">
        <v>132</v>
      </c>
    </row>
    <row r="132" spans="1:3" x14ac:dyDescent="0.3">
      <c r="A132" s="136"/>
      <c r="B132" s="22">
        <v>121</v>
      </c>
      <c r="C132" s="26" t="s">
        <v>133</v>
      </c>
    </row>
    <row r="133" spans="1:3" x14ac:dyDescent="0.3">
      <c r="A133" s="136"/>
      <c r="B133" s="22">
        <v>122</v>
      </c>
      <c r="C133" s="28" t="s">
        <v>134</v>
      </c>
    </row>
    <row r="134" spans="1:3" ht="28.8" x14ac:dyDescent="0.3">
      <c r="A134" s="136"/>
      <c r="B134" s="32">
        <v>123</v>
      </c>
      <c r="C134" s="31" t="s">
        <v>135</v>
      </c>
    </row>
    <row r="135" spans="1:3" x14ac:dyDescent="0.3">
      <c r="A135" s="136"/>
      <c r="B135" s="22">
        <v>124</v>
      </c>
      <c r="C135" s="28" t="s">
        <v>136</v>
      </c>
    </row>
    <row r="136" spans="1:3" x14ac:dyDescent="0.3">
      <c r="A136" s="136"/>
      <c r="B136" s="22">
        <v>125</v>
      </c>
      <c r="C136" s="26" t="s">
        <v>137</v>
      </c>
    </row>
    <row r="137" spans="1:3" x14ac:dyDescent="0.3">
      <c r="A137" s="136"/>
      <c r="B137" s="22">
        <v>126</v>
      </c>
      <c r="C137" s="26" t="s">
        <v>138</v>
      </c>
    </row>
    <row r="138" spans="1:3" x14ac:dyDescent="0.3">
      <c r="A138" s="136"/>
      <c r="B138" s="22">
        <v>127</v>
      </c>
      <c r="C138" s="26" t="s">
        <v>139</v>
      </c>
    </row>
    <row r="139" spans="1:3" x14ac:dyDescent="0.3">
      <c r="A139" s="136"/>
      <c r="B139" s="22">
        <v>128</v>
      </c>
      <c r="C139" s="26" t="s">
        <v>140</v>
      </c>
    </row>
    <row r="140" spans="1:3" x14ac:dyDescent="0.3">
      <c r="A140" s="136"/>
      <c r="B140" s="22">
        <v>129</v>
      </c>
      <c r="C140" s="28" t="s">
        <v>141</v>
      </c>
    </row>
    <row r="141" spans="1:3" x14ac:dyDescent="0.3">
      <c r="A141" s="136"/>
      <c r="B141" s="22">
        <v>130</v>
      </c>
      <c r="C141" s="22" t="s">
        <v>142</v>
      </c>
    </row>
    <row r="142" spans="1:3" x14ac:dyDescent="0.3">
      <c r="A142" s="136"/>
      <c r="B142" s="22">
        <v>131</v>
      </c>
      <c r="C142" s="28" t="s">
        <v>143</v>
      </c>
    </row>
    <row r="143" spans="1:3" x14ac:dyDescent="0.3">
      <c r="A143" s="136"/>
      <c r="B143" s="22">
        <v>132</v>
      </c>
      <c r="C143" s="22" t="s">
        <v>144</v>
      </c>
    </row>
    <row r="144" spans="1:3" x14ac:dyDescent="0.3">
      <c r="A144" s="136"/>
      <c r="B144" s="22">
        <v>133</v>
      </c>
      <c r="C144" s="28" t="s">
        <v>145</v>
      </c>
    </row>
    <row r="145" spans="1:3" x14ac:dyDescent="0.3">
      <c r="A145" s="136"/>
      <c r="B145" s="22">
        <v>134</v>
      </c>
      <c r="C145" s="22" t="s">
        <v>146</v>
      </c>
    </row>
    <row r="146" spans="1:3" x14ac:dyDescent="0.3">
      <c r="A146" s="136"/>
      <c r="B146" s="22">
        <v>135</v>
      </c>
      <c r="C146" s="28" t="s">
        <v>147</v>
      </c>
    </row>
    <row r="147" spans="1:3" x14ac:dyDescent="0.3">
      <c r="A147" s="136"/>
      <c r="B147" s="22">
        <v>136</v>
      </c>
      <c r="C147" s="22" t="s">
        <v>148</v>
      </c>
    </row>
    <row r="148" spans="1:3" x14ac:dyDescent="0.3">
      <c r="A148" s="136"/>
      <c r="B148" s="22">
        <v>137</v>
      </c>
      <c r="C148" s="22" t="s">
        <v>149</v>
      </c>
    </row>
    <row r="149" spans="1:3" x14ac:dyDescent="0.3">
      <c r="A149" s="136"/>
      <c r="B149" s="22">
        <v>138</v>
      </c>
      <c r="C149" s="22" t="s">
        <v>150</v>
      </c>
    </row>
    <row r="150" spans="1:3" x14ac:dyDescent="0.3">
      <c r="A150" s="136"/>
      <c r="B150" s="22">
        <v>139</v>
      </c>
      <c r="C150" s="28" t="s">
        <v>151</v>
      </c>
    </row>
    <row r="151" spans="1:3" x14ac:dyDescent="0.3">
      <c r="A151" s="136"/>
      <c r="B151" s="22">
        <v>140</v>
      </c>
      <c r="C151" s="26" t="s">
        <v>152</v>
      </c>
    </row>
    <row r="152" spans="1:3" x14ac:dyDescent="0.3">
      <c r="A152" s="136"/>
      <c r="B152" s="22">
        <v>141</v>
      </c>
      <c r="C152" s="22" t="s">
        <v>153</v>
      </c>
    </row>
    <row r="153" spans="1:3" x14ac:dyDescent="0.3">
      <c r="A153" s="136"/>
      <c r="B153" s="22">
        <v>142</v>
      </c>
      <c r="C153" s="28" t="s">
        <v>154</v>
      </c>
    </row>
    <row r="154" spans="1:3" x14ac:dyDescent="0.3">
      <c r="A154" s="136"/>
      <c r="B154" s="22">
        <v>143</v>
      </c>
      <c r="C154" s="22" t="s">
        <v>155</v>
      </c>
    </row>
    <row r="155" spans="1:3" x14ac:dyDescent="0.3">
      <c r="A155" s="136"/>
      <c r="B155" s="22">
        <v>144</v>
      </c>
      <c r="C155" s="28" t="s">
        <v>156</v>
      </c>
    </row>
    <row r="156" spans="1:3" x14ac:dyDescent="0.3">
      <c r="A156" s="136"/>
      <c r="B156" s="22">
        <v>145</v>
      </c>
      <c r="C156" s="22" t="s">
        <v>157</v>
      </c>
    </row>
    <row r="157" spans="1:3" x14ac:dyDescent="0.3">
      <c r="A157" s="136"/>
      <c r="B157" s="22">
        <v>146</v>
      </c>
      <c r="C157" s="28" t="s">
        <v>158</v>
      </c>
    </row>
    <row r="158" spans="1:3" x14ac:dyDescent="0.3">
      <c r="A158" s="136"/>
      <c r="B158" s="22">
        <v>147</v>
      </c>
      <c r="C158" s="26" t="s">
        <v>159</v>
      </c>
    </row>
    <row r="159" spans="1:3" x14ac:dyDescent="0.3">
      <c r="A159" s="136"/>
      <c r="B159" s="22">
        <v>148</v>
      </c>
      <c r="C159" s="28" t="s">
        <v>160</v>
      </c>
    </row>
    <row r="160" spans="1:3" x14ac:dyDescent="0.3">
      <c r="A160" s="136"/>
      <c r="B160" s="22">
        <v>149</v>
      </c>
      <c r="C160" s="26" t="s">
        <v>161</v>
      </c>
    </row>
    <row r="161" spans="1:3" x14ac:dyDescent="0.3">
      <c r="A161" s="136"/>
      <c r="B161" s="22">
        <v>150</v>
      </c>
      <c r="C161" s="26" t="s">
        <v>162</v>
      </c>
    </row>
    <row r="162" spans="1:3" x14ac:dyDescent="0.3">
      <c r="A162" s="136"/>
      <c r="B162" s="22">
        <v>151</v>
      </c>
      <c r="C162" s="26" t="s">
        <v>163</v>
      </c>
    </row>
    <row r="163" spans="1:3" x14ac:dyDescent="0.3">
      <c r="A163" s="136"/>
      <c r="B163" s="22">
        <v>152</v>
      </c>
      <c r="C163" s="26" t="s">
        <v>164</v>
      </c>
    </row>
    <row r="164" spans="1:3" ht="28.8" x14ac:dyDescent="0.3">
      <c r="A164" s="136"/>
      <c r="B164" s="29">
        <v>153</v>
      </c>
      <c r="C164" s="31" t="s">
        <v>165</v>
      </c>
    </row>
    <row r="165" spans="1:3" x14ac:dyDescent="0.3">
      <c r="A165" s="136"/>
      <c r="B165" s="22">
        <v>154</v>
      </c>
      <c r="C165" s="28" t="s">
        <v>166</v>
      </c>
    </row>
    <row r="166" spans="1:3" x14ac:dyDescent="0.3">
      <c r="A166" s="136"/>
      <c r="B166" s="22">
        <v>155</v>
      </c>
      <c r="C166" s="26" t="s">
        <v>167</v>
      </c>
    </row>
    <row r="167" spans="1:3" x14ac:dyDescent="0.3">
      <c r="A167" s="136"/>
      <c r="B167" s="22">
        <v>156</v>
      </c>
      <c r="C167" s="22" t="s">
        <v>168</v>
      </c>
    </row>
    <row r="168" spans="1:3" x14ac:dyDescent="0.3">
      <c r="A168" s="136"/>
      <c r="B168" s="22">
        <v>157</v>
      </c>
      <c r="C168" s="22" t="s">
        <v>169</v>
      </c>
    </row>
    <row r="169" spans="1:3" x14ac:dyDescent="0.3">
      <c r="A169" s="136"/>
      <c r="B169" s="22">
        <v>158</v>
      </c>
      <c r="C169" s="28" t="s">
        <v>170</v>
      </c>
    </row>
    <row r="170" spans="1:3" x14ac:dyDescent="0.3">
      <c r="A170" s="136"/>
      <c r="B170" s="22">
        <v>159</v>
      </c>
      <c r="C170" s="26" t="s">
        <v>171</v>
      </c>
    </row>
    <row r="171" spans="1:3" x14ac:dyDescent="0.3">
      <c r="A171" s="136"/>
      <c r="B171" s="22">
        <v>160</v>
      </c>
      <c r="C171" s="28" t="s">
        <v>172</v>
      </c>
    </row>
    <row r="172" spans="1:3" x14ac:dyDescent="0.3">
      <c r="A172" s="136"/>
      <c r="B172" s="22">
        <v>161</v>
      </c>
      <c r="C172" s="26" t="s">
        <v>173</v>
      </c>
    </row>
    <row r="173" spans="1:3" x14ac:dyDescent="0.3">
      <c r="A173" s="136"/>
      <c r="B173" s="22">
        <v>162</v>
      </c>
      <c r="C173" s="22" t="s">
        <v>174</v>
      </c>
    </row>
    <row r="174" spans="1:3" ht="28.8" x14ac:dyDescent="0.3">
      <c r="A174" s="136"/>
      <c r="B174" s="29">
        <v>163</v>
      </c>
      <c r="C174" s="30" t="s">
        <v>175</v>
      </c>
    </row>
    <row r="175" spans="1:3" x14ac:dyDescent="0.3">
      <c r="A175" s="136"/>
      <c r="B175" s="22">
        <v>164</v>
      </c>
      <c r="C175" s="26" t="s">
        <v>176</v>
      </c>
    </row>
    <row r="176" spans="1:3" x14ac:dyDescent="0.3">
      <c r="A176" s="136"/>
      <c r="B176" s="22">
        <v>165</v>
      </c>
      <c r="C176" s="28" t="s">
        <v>177</v>
      </c>
    </row>
    <row r="177" spans="1:3" x14ac:dyDescent="0.3">
      <c r="A177" s="136"/>
      <c r="B177" s="22">
        <v>166</v>
      </c>
      <c r="C177" s="26" t="s">
        <v>178</v>
      </c>
    </row>
    <row r="178" spans="1:3" x14ac:dyDescent="0.3">
      <c r="A178" s="136"/>
      <c r="B178" s="22">
        <v>167</v>
      </c>
      <c r="C178" s="22" t="s">
        <v>334</v>
      </c>
    </row>
    <row r="179" spans="1:3" x14ac:dyDescent="0.3">
      <c r="A179" s="136"/>
      <c r="B179" s="22">
        <v>168</v>
      </c>
      <c r="C179" s="22" t="s">
        <v>179</v>
      </c>
    </row>
    <row r="180" spans="1:3" x14ac:dyDescent="0.3">
      <c r="A180" s="136"/>
      <c r="B180" s="22">
        <v>169</v>
      </c>
      <c r="C180" s="22" t="s">
        <v>335</v>
      </c>
    </row>
    <row r="181" spans="1:3" x14ac:dyDescent="0.3">
      <c r="A181" s="136"/>
      <c r="B181" s="22">
        <v>170</v>
      </c>
      <c r="C181" s="22" t="s">
        <v>180</v>
      </c>
    </row>
    <row r="182" spans="1:3" x14ac:dyDescent="0.3">
      <c r="A182" s="136"/>
      <c r="B182" s="22">
        <v>171</v>
      </c>
      <c r="C182" s="26" t="s">
        <v>181</v>
      </c>
    </row>
    <row r="183" spans="1:3" x14ac:dyDescent="0.3">
      <c r="A183" s="136"/>
      <c r="B183" s="22">
        <v>172</v>
      </c>
      <c r="C183" s="26" t="s">
        <v>182</v>
      </c>
    </row>
    <row r="184" spans="1:3" x14ac:dyDescent="0.3">
      <c r="A184" s="136"/>
      <c r="B184" s="22">
        <v>173</v>
      </c>
      <c r="C184" s="26" t="s">
        <v>183</v>
      </c>
    </row>
    <row r="185" spans="1:3" x14ac:dyDescent="0.3">
      <c r="A185" s="136"/>
      <c r="B185" s="22">
        <v>174</v>
      </c>
      <c r="C185" s="28" t="s">
        <v>184</v>
      </c>
    </row>
    <row r="186" spans="1:3" x14ac:dyDescent="0.3">
      <c r="A186" s="136"/>
      <c r="B186" s="22">
        <v>175</v>
      </c>
      <c r="C186" s="26" t="s">
        <v>185</v>
      </c>
    </row>
    <row r="187" spans="1:3" x14ac:dyDescent="0.3">
      <c r="A187" s="136"/>
      <c r="B187" s="22">
        <v>176</v>
      </c>
      <c r="C187" s="22" t="s">
        <v>186</v>
      </c>
    </row>
    <row r="188" spans="1:3" x14ac:dyDescent="0.3">
      <c r="A188" s="136"/>
      <c r="B188" s="22">
        <v>177</v>
      </c>
      <c r="C188" s="26" t="s">
        <v>187</v>
      </c>
    </row>
    <row r="189" spans="1:3" x14ac:dyDescent="0.3">
      <c r="A189" s="136"/>
      <c r="B189" s="22">
        <v>178</v>
      </c>
      <c r="C189" s="26" t="s">
        <v>188</v>
      </c>
    </row>
    <row r="190" spans="1:3" x14ac:dyDescent="0.3">
      <c r="A190" s="136"/>
      <c r="B190" s="22">
        <v>179</v>
      </c>
      <c r="C190" s="28" t="s">
        <v>189</v>
      </c>
    </row>
    <row r="191" spans="1:3" x14ac:dyDescent="0.3">
      <c r="A191" s="136"/>
      <c r="B191" s="22">
        <v>180</v>
      </c>
      <c r="C191" s="26" t="s">
        <v>190</v>
      </c>
    </row>
    <row r="192" spans="1:3" x14ac:dyDescent="0.3">
      <c r="A192" s="136"/>
      <c r="B192" s="22">
        <v>181</v>
      </c>
      <c r="C192" s="28" t="s">
        <v>191</v>
      </c>
    </row>
    <row r="193" spans="1:3" x14ac:dyDescent="0.3">
      <c r="A193" s="136"/>
      <c r="B193" s="22">
        <v>182</v>
      </c>
      <c r="C193" s="26" t="s">
        <v>192</v>
      </c>
    </row>
    <row r="194" spans="1:3" x14ac:dyDescent="0.3">
      <c r="A194" s="136"/>
      <c r="B194" s="22">
        <v>183</v>
      </c>
      <c r="C194" s="28" t="s">
        <v>193</v>
      </c>
    </row>
    <row r="195" spans="1:3" x14ac:dyDescent="0.3">
      <c r="A195" s="136"/>
      <c r="B195" s="22">
        <v>184</v>
      </c>
      <c r="C195" s="26" t="s">
        <v>194</v>
      </c>
    </row>
    <row r="196" spans="1:3" x14ac:dyDescent="0.3">
      <c r="A196" s="136"/>
      <c r="B196" s="22">
        <v>185</v>
      </c>
      <c r="C196" s="28" t="s">
        <v>195</v>
      </c>
    </row>
    <row r="197" spans="1:3" x14ac:dyDescent="0.3">
      <c r="A197" s="136"/>
      <c r="B197" s="22">
        <v>186</v>
      </c>
      <c r="C197" s="22" t="s">
        <v>336</v>
      </c>
    </row>
    <row r="198" spans="1:3" x14ac:dyDescent="0.3">
      <c r="A198" s="136"/>
      <c r="B198" s="22">
        <v>187</v>
      </c>
      <c r="C198" s="28" t="s">
        <v>196</v>
      </c>
    </row>
    <row r="199" spans="1:3" ht="28.8" x14ac:dyDescent="0.3">
      <c r="A199" s="136"/>
      <c r="B199" s="22">
        <v>188</v>
      </c>
      <c r="C199" s="31" t="s">
        <v>197</v>
      </c>
    </row>
    <row r="200" spans="1:3" x14ac:dyDescent="0.3">
      <c r="A200" s="136"/>
      <c r="B200" s="22">
        <v>189</v>
      </c>
      <c r="C200" s="28" t="s">
        <v>198</v>
      </c>
    </row>
    <row r="201" spans="1:3" x14ac:dyDescent="0.3">
      <c r="A201" s="136"/>
      <c r="B201" s="22">
        <v>190</v>
      </c>
      <c r="C201" s="26" t="s">
        <v>199</v>
      </c>
    </row>
    <row r="202" spans="1:3" ht="10.8" customHeight="1" x14ac:dyDescent="0.3">
      <c r="A202" s="136"/>
      <c r="B202" s="22">
        <v>191</v>
      </c>
      <c r="C202" s="22" t="s">
        <v>200</v>
      </c>
    </row>
    <row r="203" spans="1:3" ht="18" customHeight="1" x14ac:dyDescent="0.3">
      <c r="A203" s="136"/>
      <c r="B203" s="22">
        <v>192</v>
      </c>
      <c r="C203" s="28" t="s">
        <v>201</v>
      </c>
    </row>
    <row r="204" spans="1:3" x14ac:dyDescent="0.3">
      <c r="A204" s="136"/>
      <c r="B204" s="22">
        <v>193</v>
      </c>
      <c r="C204" s="22" t="s">
        <v>202</v>
      </c>
    </row>
    <row r="205" spans="1:3" x14ac:dyDescent="0.3">
      <c r="A205" s="136"/>
      <c r="B205" s="22">
        <v>194</v>
      </c>
      <c r="C205" s="28" t="s">
        <v>203</v>
      </c>
    </row>
    <row r="206" spans="1:3" x14ac:dyDescent="0.3">
      <c r="A206" s="136"/>
      <c r="B206" s="22">
        <v>195</v>
      </c>
      <c r="C206" s="26" t="s">
        <v>204</v>
      </c>
    </row>
    <row r="207" spans="1:3" x14ac:dyDescent="0.3">
      <c r="A207" s="136"/>
      <c r="B207" s="29">
        <v>196</v>
      </c>
      <c r="C207" s="31" t="s">
        <v>205</v>
      </c>
    </row>
    <row r="208" spans="1:3" x14ac:dyDescent="0.3">
      <c r="A208" s="136"/>
      <c r="B208" s="22">
        <v>197</v>
      </c>
      <c r="C208" s="28" t="s">
        <v>206</v>
      </c>
    </row>
    <row r="209" spans="1:3" x14ac:dyDescent="0.3">
      <c r="A209" s="136"/>
      <c r="B209" s="32">
        <v>198</v>
      </c>
      <c r="C209" s="31" t="s">
        <v>207</v>
      </c>
    </row>
    <row r="210" spans="1:3" x14ac:dyDescent="0.3">
      <c r="A210" s="136"/>
      <c r="B210" s="22">
        <v>199</v>
      </c>
      <c r="C210" s="22" t="s">
        <v>208</v>
      </c>
    </row>
    <row r="211" spans="1:3" x14ac:dyDescent="0.3">
      <c r="A211" s="136"/>
      <c r="B211" s="22">
        <v>200</v>
      </c>
      <c r="C211" s="28" t="s">
        <v>209</v>
      </c>
    </row>
    <row r="212" spans="1:3" x14ac:dyDescent="0.3">
      <c r="A212" s="136"/>
      <c r="B212" s="22">
        <v>201</v>
      </c>
      <c r="C212" s="22" t="s">
        <v>210</v>
      </c>
    </row>
    <row r="213" spans="1:3" x14ac:dyDescent="0.3">
      <c r="A213" s="136"/>
      <c r="B213" s="22">
        <v>202</v>
      </c>
      <c r="C213" s="22" t="s">
        <v>211</v>
      </c>
    </row>
    <row r="214" spans="1:3" x14ac:dyDescent="0.3">
      <c r="A214" s="136"/>
      <c r="B214" s="22">
        <v>203</v>
      </c>
      <c r="C214" s="22" t="s">
        <v>212</v>
      </c>
    </row>
    <row r="215" spans="1:3" x14ac:dyDescent="0.3">
      <c r="A215" s="136"/>
      <c r="B215" s="22">
        <v>204</v>
      </c>
      <c r="C215" s="28" t="s">
        <v>213</v>
      </c>
    </row>
    <row r="216" spans="1:3" x14ac:dyDescent="0.3">
      <c r="A216" s="136"/>
      <c r="B216" s="22">
        <v>205</v>
      </c>
      <c r="C216" s="26" t="s">
        <v>214</v>
      </c>
    </row>
    <row r="217" spans="1:3" x14ac:dyDescent="0.3">
      <c r="A217" s="136"/>
      <c r="B217" s="22">
        <v>206</v>
      </c>
      <c r="C217" s="28" t="s">
        <v>215</v>
      </c>
    </row>
    <row r="218" spans="1:3" x14ac:dyDescent="0.3">
      <c r="A218" s="136"/>
      <c r="B218" s="22">
        <v>207</v>
      </c>
      <c r="C218" s="22" t="s">
        <v>216</v>
      </c>
    </row>
    <row r="219" spans="1:3" ht="28.8" x14ac:dyDescent="0.3">
      <c r="A219" s="136"/>
      <c r="B219" s="29">
        <v>208</v>
      </c>
      <c r="C219" s="30" t="s">
        <v>217</v>
      </c>
    </row>
    <row r="220" spans="1:3" x14ac:dyDescent="0.3">
      <c r="A220" s="136"/>
      <c r="B220" s="22">
        <v>209</v>
      </c>
      <c r="C220" s="26" t="s">
        <v>218</v>
      </c>
    </row>
    <row r="221" spans="1:3" x14ac:dyDescent="0.3">
      <c r="A221" s="136"/>
      <c r="B221" s="22">
        <v>210</v>
      </c>
      <c r="C221" s="22" t="s">
        <v>219</v>
      </c>
    </row>
    <row r="222" spans="1:3" x14ac:dyDescent="0.3">
      <c r="A222" s="136"/>
      <c r="B222" s="22">
        <v>211</v>
      </c>
      <c r="C222" s="28" t="s">
        <v>220</v>
      </c>
    </row>
    <row r="223" spans="1:3" x14ac:dyDescent="0.3">
      <c r="A223" s="136"/>
      <c r="B223" s="22">
        <v>212</v>
      </c>
      <c r="C223" s="26" t="s">
        <v>221</v>
      </c>
    </row>
    <row r="224" spans="1:3" x14ac:dyDescent="0.3">
      <c r="A224" s="136"/>
      <c r="B224" s="22">
        <v>213</v>
      </c>
      <c r="C224" s="22" t="s">
        <v>222</v>
      </c>
    </row>
    <row r="225" spans="1:3" x14ac:dyDescent="0.3">
      <c r="A225" s="136"/>
      <c r="B225" s="22">
        <v>214</v>
      </c>
      <c r="C225" s="28" t="s">
        <v>223</v>
      </c>
    </row>
    <row r="226" spans="1:3" x14ac:dyDescent="0.3">
      <c r="A226" s="136"/>
      <c r="B226" s="22">
        <v>215</v>
      </c>
      <c r="C226" s="26" t="s">
        <v>224</v>
      </c>
    </row>
    <row r="227" spans="1:3" x14ac:dyDescent="0.3">
      <c r="A227" s="136"/>
      <c r="B227" s="22">
        <v>216</v>
      </c>
      <c r="C227" s="22" t="s">
        <v>225</v>
      </c>
    </row>
    <row r="228" spans="1:3" x14ac:dyDescent="0.3">
      <c r="A228" s="136"/>
      <c r="B228" s="22">
        <v>217</v>
      </c>
      <c r="C228" s="22" t="s">
        <v>226</v>
      </c>
    </row>
    <row r="229" spans="1:3" x14ac:dyDescent="0.3">
      <c r="A229" s="136"/>
      <c r="B229" s="22">
        <v>218</v>
      </c>
      <c r="C229" s="31" t="s">
        <v>227</v>
      </c>
    </row>
    <row r="230" spans="1:3" x14ac:dyDescent="0.3">
      <c r="A230" s="136"/>
      <c r="B230" s="22">
        <v>219</v>
      </c>
      <c r="C230" s="22" t="s">
        <v>228</v>
      </c>
    </row>
    <row r="231" spans="1:3" x14ac:dyDescent="0.3">
      <c r="A231" s="136"/>
      <c r="B231" s="22">
        <v>220</v>
      </c>
      <c r="C231" s="22" t="s">
        <v>229</v>
      </c>
    </row>
    <row r="232" spans="1:3" x14ac:dyDescent="0.3">
      <c r="A232" s="136"/>
      <c r="B232" s="22">
        <v>221</v>
      </c>
      <c r="C232" s="22" t="s">
        <v>230</v>
      </c>
    </row>
    <row r="233" spans="1:3" x14ac:dyDescent="0.3">
      <c r="A233" s="136"/>
      <c r="B233" s="22">
        <v>222</v>
      </c>
      <c r="C233" s="28" t="s">
        <v>231</v>
      </c>
    </row>
    <row r="234" spans="1:3" ht="28.8" x14ac:dyDescent="0.3">
      <c r="A234" s="136"/>
      <c r="B234" s="22">
        <v>223</v>
      </c>
      <c r="C234" s="31" t="s">
        <v>232</v>
      </c>
    </row>
    <row r="235" spans="1:3" x14ac:dyDescent="0.3">
      <c r="A235" s="136"/>
      <c r="B235" s="22">
        <v>224</v>
      </c>
      <c r="C235" s="28" t="s">
        <v>233</v>
      </c>
    </row>
    <row r="236" spans="1:3" x14ac:dyDescent="0.3">
      <c r="A236" s="136"/>
      <c r="B236" s="22">
        <v>225</v>
      </c>
      <c r="C236" s="22" t="s">
        <v>234</v>
      </c>
    </row>
    <row r="237" spans="1:3" x14ac:dyDescent="0.3">
      <c r="A237" s="136"/>
      <c r="B237" s="22">
        <v>226</v>
      </c>
      <c r="C237" s="22" t="s">
        <v>235</v>
      </c>
    </row>
    <row r="238" spans="1:3" x14ac:dyDescent="0.3">
      <c r="A238" s="136"/>
      <c r="B238" s="22">
        <v>227</v>
      </c>
      <c r="C238" s="28" t="s">
        <v>236</v>
      </c>
    </row>
    <row r="239" spans="1:3" x14ac:dyDescent="0.3">
      <c r="A239" s="136"/>
      <c r="B239" s="22">
        <v>228</v>
      </c>
      <c r="C239" s="26" t="s">
        <v>238</v>
      </c>
    </row>
    <row r="240" spans="1:3" x14ac:dyDescent="0.3">
      <c r="A240" s="136"/>
      <c r="B240" s="22">
        <v>229</v>
      </c>
      <c r="C240" s="28" t="s">
        <v>237</v>
      </c>
    </row>
    <row r="241" spans="1:8" x14ac:dyDescent="0.3">
      <c r="A241" s="136"/>
      <c r="B241" s="22">
        <v>230</v>
      </c>
      <c r="C241" s="22" t="s">
        <v>239</v>
      </c>
    </row>
    <row r="242" spans="1:8" x14ac:dyDescent="0.3">
      <c r="A242" s="136"/>
      <c r="B242" s="22">
        <v>231</v>
      </c>
      <c r="C242" s="22" t="s">
        <v>240</v>
      </c>
    </row>
    <row r="243" spans="1:8" x14ac:dyDescent="0.3">
      <c r="A243" s="136"/>
      <c r="B243" s="22">
        <v>232</v>
      </c>
      <c r="C243" s="22" t="s">
        <v>241</v>
      </c>
    </row>
    <row r="244" spans="1:8" x14ac:dyDescent="0.3">
      <c r="A244" s="136"/>
      <c r="B244" s="22">
        <v>233</v>
      </c>
      <c r="C244" s="28" t="s">
        <v>242</v>
      </c>
    </row>
    <row r="245" spans="1:8" x14ac:dyDescent="0.3">
      <c r="A245" s="136"/>
      <c r="B245" s="22">
        <v>234</v>
      </c>
      <c r="C245" s="22" t="s">
        <v>243</v>
      </c>
    </row>
    <row r="246" spans="1:8" x14ac:dyDescent="0.3">
      <c r="A246" s="136"/>
      <c r="B246" s="22">
        <v>235</v>
      </c>
      <c r="C246" s="28" t="s">
        <v>244</v>
      </c>
    </row>
    <row r="247" spans="1:8" x14ac:dyDescent="0.3">
      <c r="A247" s="136"/>
      <c r="B247" s="22">
        <v>236</v>
      </c>
      <c r="C247" s="22" t="s">
        <v>245</v>
      </c>
    </row>
    <row r="248" spans="1:8" x14ac:dyDescent="0.3">
      <c r="A248" s="136"/>
      <c r="B248" s="22">
        <v>237</v>
      </c>
      <c r="C248" s="28" t="s">
        <v>246</v>
      </c>
    </row>
    <row r="249" spans="1:8" x14ac:dyDescent="0.3">
      <c r="A249" s="136"/>
      <c r="B249" s="22">
        <v>238</v>
      </c>
      <c r="C249" s="22" t="s">
        <v>247</v>
      </c>
    </row>
    <row r="250" spans="1:8" x14ac:dyDescent="0.3">
      <c r="A250" s="136"/>
      <c r="B250" s="22">
        <v>239</v>
      </c>
      <c r="C250" s="22" t="s">
        <v>248</v>
      </c>
    </row>
    <row r="251" spans="1:8" x14ac:dyDescent="0.3">
      <c r="A251" s="136"/>
      <c r="B251" s="22">
        <v>240</v>
      </c>
      <c r="C251" s="26" t="s">
        <v>249</v>
      </c>
    </row>
    <row r="252" spans="1:8" x14ac:dyDescent="0.3">
      <c r="A252" s="133"/>
      <c r="B252" s="8"/>
      <c r="C252" s="8"/>
      <c r="D252" s="8"/>
      <c r="E252" s="8"/>
      <c r="F252" s="8"/>
      <c r="G252" s="8"/>
      <c r="H252" s="8"/>
    </row>
    <row r="253" spans="1:8" x14ac:dyDescent="0.3">
      <c r="B253" s="8"/>
      <c r="C253" s="8"/>
      <c r="D253" s="8"/>
      <c r="E253" s="8"/>
      <c r="F253" s="8"/>
      <c r="G253" s="8"/>
      <c r="H253" s="8"/>
    </row>
    <row r="254" spans="1:8" x14ac:dyDescent="0.3">
      <c r="B254" s="8"/>
      <c r="C254" s="8"/>
      <c r="D254" s="8"/>
      <c r="E254" s="8"/>
      <c r="F254" s="8"/>
      <c r="G254" s="8"/>
      <c r="H254" s="8"/>
    </row>
    <row r="255" spans="1:8" x14ac:dyDescent="0.3">
      <c r="B255" s="8"/>
      <c r="C255" s="8"/>
      <c r="D255" s="8"/>
      <c r="E255" s="8"/>
      <c r="F255" s="8"/>
      <c r="G255" s="8"/>
      <c r="H255" s="8"/>
    </row>
    <row r="256" spans="1:8" x14ac:dyDescent="0.3">
      <c r="B256" s="8"/>
      <c r="C256" s="8"/>
      <c r="D256" s="8"/>
      <c r="E256" s="8"/>
      <c r="F256" s="8"/>
      <c r="G256" s="8"/>
      <c r="H256" s="8"/>
    </row>
    <row r="257" spans="2:8" x14ac:dyDescent="0.3">
      <c r="B257" s="8"/>
      <c r="C257" s="8"/>
      <c r="D257" s="8"/>
      <c r="E257" s="8"/>
      <c r="F257" s="8"/>
      <c r="G257" s="8"/>
      <c r="H257" s="8"/>
    </row>
    <row r="258" spans="2:8" x14ac:dyDescent="0.3">
      <c r="B258" s="8"/>
      <c r="C258" s="8"/>
      <c r="D258" s="8"/>
      <c r="E258" s="8"/>
      <c r="F258" s="8"/>
      <c r="G258" s="8"/>
      <c r="H258" s="8"/>
    </row>
    <row r="259" spans="2:8" x14ac:dyDescent="0.3">
      <c r="B259" s="8"/>
      <c r="C259" s="8"/>
      <c r="D259" s="8"/>
      <c r="E259" s="8"/>
      <c r="F259" s="8"/>
      <c r="G259" s="8"/>
      <c r="H259" s="8"/>
    </row>
    <row r="260" spans="2:8" x14ac:dyDescent="0.3">
      <c r="B260" s="8"/>
      <c r="C260" s="8"/>
      <c r="D260" s="8"/>
      <c r="E260" s="8"/>
      <c r="F260" s="8"/>
      <c r="G260" s="8"/>
      <c r="H260" s="8"/>
    </row>
    <row r="261" spans="2:8" x14ac:dyDescent="0.3">
      <c r="B261" s="8"/>
      <c r="C261" s="8"/>
      <c r="D261" s="8"/>
      <c r="E261" s="8"/>
      <c r="F261" s="8"/>
      <c r="G261" s="8"/>
      <c r="H261" s="8"/>
    </row>
    <row r="262" spans="2:8" x14ac:dyDescent="0.3">
      <c r="B262" s="8"/>
      <c r="C262" s="8"/>
      <c r="D262" s="8"/>
      <c r="E262" s="8"/>
      <c r="F262" s="8"/>
      <c r="G262" s="8"/>
      <c r="H262" s="8"/>
    </row>
    <row r="263" spans="2:8" x14ac:dyDescent="0.3">
      <c r="B263" s="8"/>
      <c r="C263" s="8"/>
      <c r="D263" s="8"/>
      <c r="E263" s="8"/>
      <c r="F263" s="8"/>
      <c r="G263" s="8"/>
      <c r="H263" s="8"/>
    </row>
    <row r="264" spans="2:8" x14ac:dyDescent="0.3">
      <c r="B264" s="8"/>
      <c r="C264" s="8"/>
      <c r="D264" s="8"/>
      <c r="E264" s="8"/>
      <c r="F264" s="8"/>
      <c r="G264" s="8"/>
      <c r="H264" s="8"/>
    </row>
    <row r="265" spans="2:8" x14ac:dyDescent="0.3">
      <c r="B265" s="8"/>
      <c r="C265" s="8"/>
      <c r="D265" s="8"/>
      <c r="E265" s="8"/>
      <c r="F265" s="8"/>
      <c r="G265" s="8"/>
      <c r="H265" s="8"/>
    </row>
    <row r="266" spans="2:8" x14ac:dyDescent="0.3">
      <c r="B266" s="8"/>
      <c r="C266" s="8"/>
      <c r="D266" s="8"/>
      <c r="E266" s="8"/>
      <c r="F266" s="8"/>
      <c r="G266" s="8"/>
      <c r="H266" s="8"/>
    </row>
    <row r="267" spans="2:8" x14ac:dyDescent="0.3">
      <c r="B267" s="8"/>
      <c r="C267" s="8"/>
      <c r="D267" s="8"/>
      <c r="E267" s="8"/>
      <c r="F267" s="8"/>
      <c r="G267" s="8"/>
      <c r="H267" s="8"/>
    </row>
    <row r="268" spans="2:8" x14ac:dyDescent="0.3">
      <c r="B268" s="8"/>
      <c r="C268" s="8"/>
      <c r="D268" s="8"/>
      <c r="E268" s="8"/>
      <c r="F268" s="8"/>
      <c r="G268" s="8"/>
      <c r="H268" s="8"/>
    </row>
    <row r="269" spans="2:8" x14ac:dyDescent="0.3">
      <c r="B269" s="8"/>
      <c r="C269" s="8"/>
      <c r="D269" s="8"/>
      <c r="E269" s="8"/>
      <c r="F269" s="8"/>
      <c r="G269" s="8"/>
      <c r="H269" s="8"/>
    </row>
    <row r="270" spans="2:8" x14ac:dyDescent="0.3">
      <c r="B270" s="8"/>
      <c r="C270" s="8"/>
      <c r="D270" s="8"/>
      <c r="E270" s="8"/>
      <c r="F270" s="8"/>
      <c r="G270" s="8"/>
      <c r="H270" s="8"/>
    </row>
    <row r="271" spans="2:8" x14ac:dyDescent="0.3">
      <c r="B271" s="8"/>
      <c r="C271" s="8"/>
      <c r="D271" s="8"/>
      <c r="E271" s="8"/>
      <c r="F271" s="8"/>
      <c r="G271" s="8"/>
      <c r="H271" s="8"/>
    </row>
    <row r="272" spans="2:8" x14ac:dyDescent="0.3">
      <c r="B272" s="8"/>
      <c r="C272" s="8"/>
      <c r="D272" s="8"/>
      <c r="E272" s="8"/>
      <c r="F272" s="8"/>
      <c r="G272" s="8"/>
      <c r="H272" s="8"/>
    </row>
    <row r="273" spans="2:8" x14ac:dyDescent="0.3">
      <c r="B273" s="8"/>
      <c r="C273" s="8"/>
      <c r="D273" s="8"/>
      <c r="E273" s="8"/>
      <c r="F273" s="8"/>
      <c r="G273" s="8"/>
      <c r="H273" s="8"/>
    </row>
    <row r="274" spans="2:8" x14ac:dyDescent="0.3">
      <c r="B274" s="8"/>
      <c r="C274" s="8"/>
      <c r="D274" s="8"/>
      <c r="E274" s="8"/>
      <c r="F274" s="8"/>
      <c r="G274" s="8"/>
      <c r="H274" s="8"/>
    </row>
    <row r="275" spans="2:8" x14ac:dyDescent="0.3">
      <c r="B275" s="8"/>
      <c r="C275" s="8"/>
      <c r="D275" s="8"/>
      <c r="E275" s="8"/>
      <c r="F275" s="8"/>
      <c r="G275" s="8"/>
      <c r="H275" s="8"/>
    </row>
    <row r="276" spans="2:8" x14ac:dyDescent="0.3">
      <c r="B276" s="8"/>
      <c r="C276" s="8"/>
      <c r="D276" s="8"/>
      <c r="E276" s="8"/>
      <c r="F276" s="8"/>
      <c r="G276" s="8"/>
      <c r="H276" s="8"/>
    </row>
    <row r="277" spans="2:8" x14ac:dyDescent="0.3">
      <c r="B277" s="8"/>
      <c r="C277" s="8"/>
      <c r="D277" s="8"/>
      <c r="E277" s="8"/>
      <c r="F277" s="8"/>
      <c r="G277" s="8"/>
      <c r="H277" s="8"/>
    </row>
    <row r="278" spans="2:8" x14ac:dyDescent="0.3">
      <c r="B278" s="8"/>
      <c r="C278" s="8"/>
      <c r="D278" s="8"/>
      <c r="E278" s="8"/>
      <c r="F278" s="8"/>
      <c r="G278" s="8"/>
      <c r="H278" s="8"/>
    </row>
    <row r="279" spans="2:8" x14ac:dyDescent="0.3">
      <c r="B279" s="8"/>
      <c r="C279" s="8"/>
      <c r="D279" s="8"/>
      <c r="E279" s="8"/>
      <c r="F279" s="8"/>
      <c r="G279" s="8"/>
      <c r="H279" s="8"/>
    </row>
    <row r="280" spans="2:8" x14ac:dyDescent="0.3">
      <c r="B280" s="8"/>
      <c r="C280" s="8"/>
      <c r="D280" s="8"/>
      <c r="E280" s="8"/>
      <c r="F280" s="8"/>
      <c r="G280" s="8"/>
      <c r="H280" s="8"/>
    </row>
    <row r="281" spans="2:8" x14ac:dyDescent="0.3">
      <c r="B281" s="8"/>
      <c r="C281" s="8"/>
      <c r="D281" s="8"/>
      <c r="E281" s="8"/>
      <c r="F281" s="8"/>
      <c r="G281" s="8"/>
      <c r="H281" s="8"/>
    </row>
    <row r="282" spans="2:8" x14ac:dyDescent="0.3">
      <c r="B282" s="8"/>
      <c r="C282" s="8"/>
      <c r="D282" s="8"/>
      <c r="E282" s="8"/>
      <c r="F282" s="8"/>
      <c r="G282" s="8"/>
      <c r="H282" s="8"/>
    </row>
    <row r="283" spans="2:8" x14ac:dyDescent="0.3">
      <c r="B283" s="8"/>
      <c r="C283" s="8"/>
      <c r="D283" s="8"/>
      <c r="E283" s="8"/>
      <c r="F283" s="8"/>
      <c r="G283" s="8"/>
      <c r="H283" s="8"/>
    </row>
    <row r="284" spans="2:8" x14ac:dyDescent="0.3">
      <c r="B284" s="8"/>
      <c r="C284" s="8"/>
      <c r="D284" s="8"/>
      <c r="E284" s="8"/>
      <c r="F284" s="8"/>
      <c r="G284" s="8"/>
      <c r="H284" s="8"/>
    </row>
    <row r="285" spans="2:8" x14ac:dyDescent="0.3">
      <c r="B285" s="8"/>
      <c r="C285" s="8"/>
      <c r="D285" s="8"/>
      <c r="E285" s="8"/>
      <c r="F285" s="8"/>
      <c r="G285" s="8"/>
      <c r="H285" s="8"/>
    </row>
    <row r="286" spans="2:8" x14ac:dyDescent="0.3">
      <c r="B286" s="8"/>
      <c r="C286" s="8"/>
      <c r="D286" s="8"/>
      <c r="E286" s="8"/>
      <c r="F286" s="8"/>
      <c r="G286" s="8"/>
      <c r="H286" s="8"/>
    </row>
    <row r="287" spans="2:8" x14ac:dyDescent="0.3">
      <c r="B287" s="8"/>
      <c r="C287" s="8"/>
      <c r="D287" s="8"/>
      <c r="E287" s="8"/>
      <c r="F287" s="8"/>
      <c r="G287" s="8"/>
      <c r="H287" s="8"/>
    </row>
    <row r="288" spans="2:8" x14ac:dyDescent="0.3">
      <c r="B288" s="8"/>
      <c r="C288" s="8"/>
      <c r="D288" s="8"/>
      <c r="E288" s="8"/>
      <c r="F288" s="8"/>
      <c r="G288" s="8"/>
      <c r="H288" s="8"/>
    </row>
    <row r="289" spans="2:8" x14ac:dyDescent="0.3">
      <c r="B289" s="8"/>
      <c r="C289" s="8"/>
      <c r="D289" s="8"/>
      <c r="E289" s="8"/>
      <c r="F289" s="8"/>
      <c r="G289" s="8"/>
      <c r="H289" s="8"/>
    </row>
    <row r="290" spans="2:8" x14ac:dyDescent="0.3">
      <c r="B290" s="8"/>
      <c r="C290" s="8"/>
      <c r="D290" s="8"/>
      <c r="E290" s="8"/>
      <c r="F290" s="8"/>
      <c r="G290" s="8"/>
      <c r="H290" s="8"/>
    </row>
    <row r="291" spans="2:8" x14ac:dyDescent="0.3">
      <c r="B291" s="8"/>
      <c r="C291" s="8"/>
      <c r="D291" s="8"/>
      <c r="E291" s="8"/>
      <c r="F291" s="8"/>
      <c r="G291" s="8"/>
      <c r="H291" s="8"/>
    </row>
    <row r="292" spans="2:8" x14ac:dyDescent="0.3">
      <c r="B292" s="8"/>
      <c r="C292" s="8"/>
      <c r="D292" s="8"/>
      <c r="E292" s="8"/>
      <c r="F292" s="8"/>
      <c r="G292" s="8"/>
      <c r="H292" s="8"/>
    </row>
    <row r="293" spans="2:8" x14ac:dyDescent="0.3">
      <c r="B293" s="8"/>
      <c r="C293" s="8"/>
      <c r="D293" s="8"/>
      <c r="E293" s="8"/>
      <c r="F293" s="8"/>
      <c r="G293" s="8"/>
      <c r="H293" s="8"/>
    </row>
    <row r="294" spans="2:8" x14ac:dyDescent="0.3">
      <c r="B294" s="8"/>
      <c r="C294" s="8"/>
      <c r="D294" s="8"/>
      <c r="E294" s="8"/>
      <c r="F294" s="8"/>
      <c r="G294" s="8"/>
      <c r="H294" s="8"/>
    </row>
    <row r="295" spans="2:8" x14ac:dyDescent="0.3">
      <c r="B295" s="8"/>
      <c r="C295" s="8"/>
      <c r="D295" s="8"/>
      <c r="E295" s="8"/>
      <c r="F295" s="8"/>
      <c r="G295" s="8"/>
      <c r="H295" s="8"/>
    </row>
    <row r="296" spans="2:8" x14ac:dyDescent="0.3">
      <c r="B296" s="8"/>
      <c r="C296" s="8"/>
      <c r="D296" s="8"/>
      <c r="E296" s="8"/>
      <c r="F296" s="8"/>
      <c r="G296" s="8"/>
      <c r="H296" s="8"/>
    </row>
    <row r="297" spans="2:8" x14ac:dyDescent="0.3">
      <c r="B297" s="8"/>
      <c r="C297" s="8"/>
      <c r="D297" s="8"/>
      <c r="E297" s="8"/>
      <c r="F297" s="8"/>
      <c r="G297" s="8"/>
      <c r="H297" s="8"/>
    </row>
    <row r="298" spans="2:8" x14ac:dyDescent="0.3">
      <c r="B298" s="8"/>
      <c r="C298" s="8"/>
      <c r="D298" s="8"/>
      <c r="E298" s="8"/>
      <c r="F298" s="8"/>
      <c r="G298" s="8"/>
      <c r="H298" s="8"/>
    </row>
    <row r="299" spans="2:8" x14ac:dyDescent="0.3">
      <c r="B299" s="8"/>
      <c r="C299" s="8"/>
      <c r="D299" s="8"/>
      <c r="E299" s="8"/>
      <c r="F299" s="8"/>
      <c r="G299" s="8"/>
      <c r="H299" s="8"/>
    </row>
    <row r="300" spans="2:8" x14ac:dyDescent="0.3">
      <c r="B300" s="8"/>
      <c r="C300" s="8"/>
      <c r="D300" s="8"/>
      <c r="E300" s="8"/>
      <c r="F300" s="8"/>
      <c r="G300" s="8"/>
      <c r="H300" s="8"/>
    </row>
    <row r="301" spans="2:8" x14ac:dyDescent="0.3">
      <c r="B301" s="8"/>
      <c r="C301" s="8"/>
      <c r="D301" s="8"/>
      <c r="E301" s="8"/>
      <c r="F301" s="8"/>
      <c r="G301" s="8"/>
      <c r="H301" s="8"/>
    </row>
    <row r="302" spans="2:8" x14ac:dyDescent="0.3">
      <c r="B302" s="8"/>
      <c r="C302" s="8"/>
      <c r="D302" s="8"/>
      <c r="E302" s="8"/>
      <c r="F302" s="8"/>
      <c r="G302" s="8"/>
      <c r="H302" s="8"/>
    </row>
    <row r="303" spans="2:8" x14ac:dyDescent="0.3">
      <c r="B303" s="8"/>
      <c r="C303" s="8"/>
      <c r="D303" s="8"/>
      <c r="E303" s="8"/>
      <c r="F303" s="8"/>
      <c r="G303" s="8"/>
      <c r="H303" s="8"/>
    </row>
    <row r="304" spans="2:8" x14ac:dyDescent="0.3">
      <c r="B304" s="8"/>
      <c r="C304" s="8"/>
      <c r="D304" s="8"/>
      <c r="E304" s="8"/>
      <c r="F304" s="8"/>
      <c r="G304" s="8"/>
      <c r="H304" s="8"/>
    </row>
    <row r="305" spans="2:8" x14ac:dyDescent="0.3">
      <c r="B305" s="8"/>
      <c r="C305" s="8"/>
      <c r="D305" s="8"/>
      <c r="E305" s="8"/>
      <c r="F305" s="8"/>
      <c r="G305" s="8"/>
      <c r="H305" s="8"/>
    </row>
    <row r="306" spans="2:8" x14ac:dyDescent="0.3">
      <c r="B306" s="8"/>
      <c r="C306" s="8"/>
      <c r="D306" s="8"/>
      <c r="E306" s="8"/>
      <c r="F306" s="8"/>
      <c r="G306" s="8"/>
      <c r="H306" s="8"/>
    </row>
    <row r="307" spans="2:8" x14ac:dyDescent="0.3">
      <c r="B307" s="8"/>
      <c r="C307" s="8"/>
      <c r="D307" s="8"/>
      <c r="E307" s="8"/>
      <c r="F307" s="8"/>
      <c r="G307" s="8"/>
      <c r="H307" s="8"/>
    </row>
    <row r="308" spans="2:8" x14ac:dyDescent="0.3">
      <c r="B308" s="8"/>
      <c r="C308" s="8"/>
      <c r="D308" s="8"/>
      <c r="E308" s="8"/>
      <c r="F308" s="8"/>
      <c r="G308" s="8"/>
      <c r="H308" s="8"/>
    </row>
    <row r="309" spans="2:8" x14ac:dyDescent="0.3">
      <c r="B309" s="8"/>
      <c r="C309" s="8"/>
      <c r="D309" s="8"/>
      <c r="E309" s="8"/>
      <c r="F309" s="8"/>
      <c r="G309" s="8"/>
      <c r="H309" s="8"/>
    </row>
    <row r="310" spans="2:8" x14ac:dyDescent="0.3">
      <c r="B310" s="8"/>
      <c r="C310" s="8"/>
      <c r="D310" s="8"/>
      <c r="E310" s="8"/>
      <c r="F310" s="8"/>
      <c r="G310" s="8"/>
      <c r="H310" s="8"/>
    </row>
    <row r="311" spans="2:8" x14ac:dyDescent="0.3">
      <c r="B311" s="8"/>
      <c r="C311" s="8"/>
      <c r="D311" s="8"/>
      <c r="E311" s="8"/>
      <c r="F311" s="8"/>
      <c r="G311" s="8"/>
      <c r="H311" s="8"/>
    </row>
    <row r="312" spans="2:8" x14ac:dyDescent="0.3">
      <c r="B312" s="8"/>
      <c r="C312" s="8"/>
      <c r="D312" s="8"/>
      <c r="E312" s="8"/>
      <c r="F312" s="8"/>
      <c r="G312" s="8"/>
      <c r="H312" s="8"/>
    </row>
    <row r="313" spans="2:8" x14ac:dyDescent="0.3">
      <c r="B313" s="8"/>
      <c r="C313" s="8"/>
      <c r="D313" s="8"/>
      <c r="E313" s="8"/>
      <c r="F313" s="8"/>
      <c r="G313" s="8"/>
      <c r="H313" s="8"/>
    </row>
    <row r="314" spans="2:8" x14ac:dyDescent="0.3">
      <c r="B314" s="8"/>
      <c r="C314" s="8"/>
      <c r="D314" s="8"/>
      <c r="E314" s="8"/>
      <c r="F314" s="8"/>
      <c r="G314" s="8"/>
      <c r="H314" s="8"/>
    </row>
    <row r="315" spans="2:8" x14ac:dyDescent="0.3">
      <c r="B315" s="8"/>
      <c r="C315" s="8"/>
      <c r="D315" s="8"/>
      <c r="E315" s="8"/>
      <c r="F315" s="8"/>
      <c r="G315" s="8"/>
      <c r="H315" s="8"/>
    </row>
    <row r="316" spans="2:8" x14ac:dyDescent="0.3">
      <c r="B316" s="8"/>
      <c r="C316" s="8"/>
      <c r="D316" s="8"/>
      <c r="E316" s="8"/>
      <c r="F316" s="8"/>
      <c r="G316" s="8"/>
      <c r="H316" s="8"/>
    </row>
    <row r="317" spans="2:8" x14ac:dyDescent="0.3">
      <c r="B317" s="8"/>
      <c r="C317" s="8"/>
      <c r="D317" s="8"/>
      <c r="E317" s="8"/>
      <c r="F317" s="8"/>
      <c r="G317" s="8"/>
      <c r="H317" s="8"/>
    </row>
    <row r="318" spans="2:8" x14ac:dyDescent="0.3">
      <c r="B318" s="8"/>
      <c r="C318" s="8"/>
      <c r="D318" s="8"/>
      <c r="E318" s="8"/>
      <c r="F318" s="8"/>
      <c r="G318" s="8"/>
      <c r="H318" s="8"/>
    </row>
    <row r="319" spans="2:8" x14ac:dyDescent="0.3">
      <c r="B319" s="8"/>
      <c r="C319" s="8"/>
      <c r="D319" s="8"/>
      <c r="E319" s="8"/>
      <c r="F319" s="8"/>
      <c r="G319" s="8"/>
      <c r="H319" s="8"/>
    </row>
    <row r="320" spans="2:8" x14ac:dyDescent="0.3">
      <c r="B320" s="8"/>
      <c r="C320" s="8"/>
      <c r="D320" s="8"/>
      <c r="E320" s="8"/>
      <c r="F320" s="8"/>
      <c r="G320" s="8"/>
      <c r="H320" s="8"/>
    </row>
    <row r="321" spans="2:8" x14ac:dyDescent="0.3">
      <c r="B321" s="8"/>
      <c r="C321" s="8"/>
      <c r="D321" s="8"/>
      <c r="E321" s="8"/>
      <c r="F321" s="8"/>
      <c r="G321" s="8"/>
      <c r="H321" s="8"/>
    </row>
    <row r="322" spans="2:8" x14ac:dyDescent="0.3">
      <c r="B322" s="8"/>
      <c r="C322" s="8"/>
      <c r="D322" s="8"/>
      <c r="E322" s="8"/>
      <c r="F322" s="8"/>
      <c r="G322" s="8"/>
      <c r="H322" s="8"/>
    </row>
    <row r="323" spans="2:8" x14ac:dyDescent="0.3">
      <c r="B323" s="8"/>
      <c r="C323" s="8"/>
      <c r="D323" s="8"/>
      <c r="E323" s="8"/>
      <c r="F323" s="8"/>
      <c r="G323" s="8"/>
      <c r="H323" s="8"/>
    </row>
    <row r="324" spans="2:8" x14ac:dyDescent="0.3">
      <c r="B324" s="8"/>
      <c r="C324" s="8"/>
      <c r="D324" s="8"/>
      <c r="E324" s="8"/>
      <c r="F324" s="8"/>
      <c r="G324" s="8"/>
      <c r="H324" s="8"/>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AJ60"/>
  <sheetViews>
    <sheetView workbookViewId="0">
      <selection activeCell="H46" sqref="H46:Y46"/>
    </sheetView>
  </sheetViews>
  <sheetFormatPr baseColWidth="10" defaultRowHeight="14.4" x14ac:dyDescent="0.3"/>
  <cols>
    <col min="2" max="3" width="5.6640625" bestFit="1" customWidth="1"/>
    <col min="4" max="4" width="5.44140625" customWidth="1"/>
    <col min="5" max="6" width="5.6640625" bestFit="1" customWidth="1"/>
    <col min="7" max="7" width="8.88671875" customWidth="1"/>
    <col min="8" max="36" width="5.6640625" bestFit="1" customWidth="1"/>
  </cols>
  <sheetData>
    <row r="3" spans="1:36" ht="102.6" x14ac:dyDescent="0.3">
      <c r="A3" s="14" t="s">
        <v>325</v>
      </c>
      <c r="B3" s="15" t="s">
        <v>290</v>
      </c>
      <c r="C3" s="17" t="s">
        <v>291</v>
      </c>
      <c r="D3" s="16" t="s">
        <v>294</v>
      </c>
      <c r="E3" s="18" t="s">
        <v>292</v>
      </c>
      <c r="F3" s="19" t="s">
        <v>293</v>
      </c>
      <c r="G3" s="15" t="s">
        <v>295</v>
      </c>
      <c r="H3" s="15" t="s">
        <v>296</v>
      </c>
      <c r="I3" s="15" t="s">
        <v>297</v>
      </c>
      <c r="J3" s="15" t="s">
        <v>298</v>
      </c>
      <c r="K3" s="15" t="s">
        <v>299</v>
      </c>
      <c r="L3" s="15" t="s">
        <v>300</v>
      </c>
      <c r="M3" s="17" t="s">
        <v>301</v>
      </c>
      <c r="N3" s="17" t="s">
        <v>302</v>
      </c>
      <c r="O3" s="17" t="s">
        <v>303</v>
      </c>
      <c r="P3" s="17" t="s">
        <v>304</v>
      </c>
      <c r="Q3" s="17" t="s">
        <v>305</v>
      </c>
      <c r="R3" s="17" t="s">
        <v>306</v>
      </c>
      <c r="S3" s="16" t="s">
        <v>307</v>
      </c>
      <c r="T3" s="16" t="s">
        <v>308</v>
      </c>
      <c r="U3" s="16" t="s">
        <v>309</v>
      </c>
      <c r="V3" s="16" t="s">
        <v>310</v>
      </c>
      <c r="W3" s="16" t="s">
        <v>311</v>
      </c>
      <c r="X3" s="16" t="s">
        <v>324</v>
      </c>
      <c r="Y3" s="18" t="s">
        <v>312</v>
      </c>
      <c r="Z3" s="18" t="s">
        <v>313</v>
      </c>
      <c r="AA3" s="18" t="s">
        <v>314</v>
      </c>
      <c r="AB3" s="18" t="s">
        <v>315</v>
      </c>
      <c r="AC3" s="18" t="s">
        <v>316</v>
      </c>
      <c r="AD3" s="18" t="s">
        <v>317</v>
      </c>
      <c r="AE3" s="19" t="s">
        <v>318</v>
      </c>
      <c r="AF3" s="19" t="s">
        <v>319</v>
      </c>
      <c r="AG3" s="19" t="s">
        <v>320</v>
      </c>
      <c r="AH3" s="19" t="s">
        <v>321</v>
      </c>
      <c r="AI3" s="19" t="s">
        <v>322</v>
      </c>
      <c r="AJ3" s="19" t="s">
        <v>323</v>
      </c>
    </row>
    <row r="4" spans="1:36" x14ac:dyDescent="0.3">
      <c r="A4" s="40" t="s">
        <v>533</v>
      </c>
      <c r="B4" s="1">
        <f>TOTAL!Q10</f>
        <v>51</v>
      </c>
      <c r="C4" s="41">
        <f>TOTAL!U10</f>
        <v>56</v>
      </c>
      <c r="D4" s="1">
        <f>TOTAL!Q19</f>
        <v>52</v>
      </c>
      <c r="E4" s="1">
        <f>TOTAL!U20</f>
        <v>53</v>
      </c>
      <c r="F4" s="1">
        <f>TOTAL!Q28</f>
        <v>55</v>
      </c>
      <c r="G4" s="42">
        <f>TOTAL!Q4</f>
        <v>56</v>
      </c>
      <c r="H4" s="42">
        <f>TOTAL!Q5</f>
        <v>53</v>
      </c>
      <c r="I4" s="42">
        <f>TOTAL!Q6</f>
        <v>49</v>
      </c>
      <c r="J4" s="42">
        <f>TOTAL!Q7</f>
        <v>46</v>
      </c>
      <c r="K4" s="42">
        <f>TOTAL!Q8</f>
        <v>55</v>
      </c>
      <c r="L4" s="42">
        <f>TOTAL!Q9</f>
        <v>46</v>
      </c>
      <c r="M4" s="42">
        <f>TOTAL!U4</f>
        <v>48</v>
      </c>
      <c r="N4" s="1">
        <f>TOTAL!U5</f>
        <v>59</v>
      </c>
      <c r="O4" s="1">
        <f>TOTAL!U6</f>
        <v>47</v>
      </c>
      <c r="P4" s="42">
        <f>TOTAL!U7</f>
        <v>60</v>
      </c>
      <c r="Q4" s="1">
        <f>TOTAL!U8</f>
        <v>59</v>
      </c>
      <c r="R4" s="1">
        <f>TOTAL!U9</f>
        <v>53</v>
      </c>
      <c r="S4" s="1">
        <f>TOTAL!Q13</f>
        <v>49</v>
      </c>
      <c r="T4" s="1">
        <f>TOTAL!Q14</f>
        <v>53</v>
      </c>
      <c r="U4" s="1">
        <f>TOTAL!Q15</f>
        <v>58</v>
      </c>
      <c r="V4" s="1">
        <f>TOTAL!Q16</f>
        <v>52</v>
      </c>
      <c r="W4" s="1">
        <f>TOTAL!Q17</f>
        <v>52</v>
      </c>
      <c r="X4" s="1">
        <f>TOTAL!Q18</f>
        <v>47</v>
      </c>
      <c r="Y4" s="1">
        <f>TOTAL!U14</f>
        <v>30</v>
      </c>
      <c r="Z4" s="1">
        <f>TOTAL!U15</f>
        <v>59</v>
      </c>
      <c r="AA4" s="1">
        <f>TOTAL!U16</f>
        <v>46</v>
      </c>
      <c r="AB4" s="1">
        <f>TOTAL!U17</f>
        <v>40</v>
      </c>
      <c r="AC4" s="1">
        <f>TOTAL!U18</f>
        <v>42</v>
      </c>
      <c r="AD4" s="1">
        <f>TOTAL!U19</f>
        <v>62</v>
      </c>
      <c r="AE4" s="42">
        <f>TOTAL!Q22</f>
        <v>51</v>
      </c>
      <c r="AF4" s="1">
        <f>TOTAL!Q23</f>
        <v>48</v>
      </c>
      <c r="AG4" s="1">
        <f>TOTAL!Q24</f>
        <v>51</v>
      </c>
      <c r="AH4" s="1">
        <f>TOTAL!Q25</f>
        <v>65</v>
      </c>
      <c r="AI4" s="1">
        <f>TOTAL!Q26</f>
        <v>59</v>
      </c>
      <c r="AJ4" s="1">
        <f>TOTAL!Q27</f>
        <v>50</v>
      </c>
    </row>
    <row r="31" spans="5:25" x14ac:dyDescent="0.3">
      <c r="E31" s="43" t="s">
        <v>295</v>
      </c>
      <c r="F31" s="43"/>
      <c r="G31" s="43"/>
      <c r="H31" s="147">
        <f>IF(G4&gt;=58,"auront plus tendance à éprouver de telles peurs et à souffrir d ’anxiété diffuse nerveux",IF(AND(G4&gt;=20,G4&lt;=43),"sont, en revanche, calmes et détendues",))</f>
        <v>0</v>
      </c>
      <c r="I31" s="148"/>
      <c r="J31" s="148"/>
      <c r="K31" s="148"/>
      <c r="L31" s="148"/>
      <c r="M31" s="148"/>
      <c r="N31" s="148"/>
      <c r="O31" s="148"/>
      <c r="P31" s="148"/>
      <c r="Q31" s="148"/>
      <c r="R31" s="148"/>
      <c r="S31" s="148"/>
      <c r="T31" s="148"/>
      <c r="U31" s="148"/>
      <c r="V31" s="148"/>
      <c r="W31" s="148"/>
      <c r="X31" s="148"/>
      <c r="Y31" s="149"/>
    </row>
    <row r="32" spans="5:25" x14ac:dyDescent="0.3">
      <c r="E32" s="43" t="s">
        <v>296</v>
      </c>
      <c r="F32" s="43"/>
      <c r="G32" s="43"/>
      <c r="H32" s="147">
        <f>IF(H4&gt;=58,"facile à se mettre en colère ",IF(AND(H4&gt;=20,H4&lt;=43),"il ce mes on colère difficilement",))</f>
        <v>0</v>
      </c>
      <c r="I32" s="148"/>
      <c r="J32" s="148"/>
      <c r="K32" s="148"/>
      <c r="L32" s="148"/>
      <c r="M32" s="148"/>
      <c r="N32" s="148"/>
      <c r="O32" s="148"/>
      <c r="P32" s="148"/>
      <c r="Q32" s="148"/>
      <c r="R32" s="148"/>
      <c r="S32" s="148"/>
      <c r="T32" s="148"/>
      <c r="U32" s="148"/>
      <c r="V32" s="148"/>
      <c r="W32" s="148"/>
      <c r="X32" s="148"/>
      <c r="Y32" s="149"/>
    </row>
    <row r="33" spans="5:25" x14ac:dyDescent="0.3">
      <c r="E33" s="43" t="s">
        <v>297</v>
      </c>
      <c r="F33" s="43"/>
      <c r="G33" s="43"/>
      <c r="H33" s="147">
        <f>IF(I4&gt;=58,"sont sujettes à la culpabilité, à la tristesse, à des sentiments d ’impuissance et de solitude. Elles sont facilement découragées et souvent abattues",IF(AND(I4&gt;=20,I4&lt;=43),"éprouvent, en revanche, rarement de telles émotions mais elles ne sont pas nécessairement gaies et enjouées, ces caractéristiques étant liées à l ’extraversion",))</f>
        <v>0</v>
      </c>
      <c r="I33" s="148"/>
      <c r="J33" s="148"/>
      <c r="K33" s="148"/>
      <c r="L33" s="148"/>
      <c r="M33" s="148"/>
      <c r="N33" s="148"/>
      <c r="O33" s="148"/>
      <c r="P33" s="148"/>
      <c r="Q33" s="148"/>
      <c r="R33" s="148"/>
      <c r="S33" s="148"/>
      <c r="T33" s="148"/>
      <c r="U33" s="148"/>
      <c r="V33" s="148"/>
      <c r="W33" s="148"/>
      <c r="X33" s="148"/>
      <c r="Y33" s="149"/>
    </row>
    <row r="34" spans="5:25" x14ac:dyDescent="0.3">
      <c r="E34" s="43" t="s">
        <v>298</v>
      </c>
      <c r="F34" s="43"/>
      <c r="G34" s="43"/>
      <c r="H34" s="147">
        <f>IF(J4&gt;=58,"Les individus timides en société sont mal à l ’aise en présence des autres, sensibles au ridicule et ont tendance à se sentir inférieurs.  La timidité sociale se rapproche de l ’anxiété sociale-en ce qui concerne la timidité sociale en public",IF(AND(J4&gt;=20,J4&lt;=43),"Elles sont simplement moins perturbées par les situations sociales embarrassantes",))</f>
        <v>0</v>
      </c>
      <c r="I34" s="148"/>
      <c r="J34" s="148"/>
      <c r="K34" s="148"/>
      <c r="L34" s="148"/>
      <c r="M34" s="148"/>
      <c r="N34" s="148"/>
      <c r="O34" s="148"/>
      <c r="P34" s="148"/>
      <c r="Q34" s="148"/>
      <c r="R34" s="148"/>
      <c r="S34" s="148"/>
      <c r="T34" s="148"/>
      <c r="U34" s="148"/>
      <c r="V34" s="148"/>
      <c r="W34" s="148"/>
      <c r="X34" s="148"/>
      <c r="Y34" s="149"/>
    </row>
    <row r="35" spans="5:25" x14ac:dyDescent="0.3">
      <c r="E35" s="43" t="s">
        <v>299</v>
      </c>
      <c r="F35" s="43"/>
      <c r="G35" s="43"/>
      <c r="H35" s="147">
        <f>IF(K4&gt;=58,"l ’incapacité à maîtriser ses désirs et ses besoins",IF(AND(K4&gt;=20,K4&lt;=43),"plus de facilité à résister à de telles tentations parce qu ’elles tolèrent mieux la frustration",))</f>
        <v>0</v>
      </c>
      <c r="I35" s="148"/>
      <c r="J35" s="148"/>
      <c r="K35" s="148"/>
      <c r="L35" s="148"/>
      <c r="M35" s="148"/>
      <c r="N35" s="148"/>
      <c r="O35" s="148"/>
      <c r="P35" s="148"/>
      <c r="Q35" s="148"/>
      <c r="R35" s="148"/>
      <c r="S35" s="148"/>
      <c r="T35" s="148"/>
      <c r="U35" s="148"/>
      <c r="V35" s="148"/>
      <c r="W35" s="148"/>
      <c r="X35" s="148"/>
      <c r="Y35" s="149"/>
    </row>
    <row r="36" spans="5:25" x14ac:dyDescent="0.3">
      <c r="E36" s="43" t="s">
        <v>300</v>
      </c>
      <c r="F36" s="43"/>
      <c r="G36" s="43"/>
      <c r="H36" s="147">
        <f>IF(L4&gt;=58,"incapables de faire face au stress",IF(AND(L4&gt;=20,L4&lt;=43),"capables de se contrôler dans les situations difficiles",))</f>
        <v>0</v>
      </c>
      <c r="I36" s="148"/>
      <c r="J36" s="148"/>
      <c r="K36" s="148"/>
      <c r="L36" s="148"/>
      <c r="M36" s="148"/>
      <c r="N36" s="148"/>
      <c r="O36" s="148"/>
      <c r="P36" s="148"/>
      <c r="Q36" s="148"/>
      <c r="R36" s="148"/>
      <c r="S36" s="148"/>
      <c r="T36" s="148"/>
      <c r="U36" s="148"/>
      <c r="V36" s="148"/>
      <c r="W36" s="148"/>
      <c r="X36" s="148"/>
      <c r="Y36" s="149"/>
    </row>
    <row r="37" spans="5:25" x14ac:dyDescent="0.3">
      <c r="E37" s="153" t="s">
        <v>301</v>
      </c>
      <c r="F37" s="154"/>
      <c r="G37" s="155"/>
      <c r="H37" s="147">
        <f>IF(M4&gt;=58,"personnes chaleureuses sont affectueuses et amicales nouent facilement des relations proches avec les autres",IF(AND(M4&gt;=20,M4&lt;=43),"elles sont plus formalistes, plus réservées et distantes",))</f>
        <v>0</v>
      </c>
      <c r="I37" s="148"/>
      <c r="J37" s="148"/>
      <c r="K37" s="148"/>
      <c r="L37" s="148"/>
      <c r="M37" s="148"/>
      <c r="N37" s="148"/>
      <c r="O37" s="148"/>
      <c r="P37" s="148"/>
      <c r="Q37" s="148"/>
      <c r="R37" s="148"/>
      <c r="S37" s="148"/>
      <c r="T37" s="148"/>
      <c r="U37" s="148"/>
      <c r="V37" s="148"/>
      <c r="W37" s="148"/>
      <c r="X37" s="148"/>
      <c r="Y37" s="149"/>
    </row>
    <row r="38" spans="5:25" x14ac:dyDescent="0.3">
      <c r="E38" s="153" t="s">
        <v>302</v>
      </c>
      <c r="F38" s="154"/>
      <c r="G38" s="155"/>
      <c r="H38" s="147" t="str">
        <f>IF(N4&gt;=58,"Les personnes grégaires apprécient la compagnie d ’autrui",IF(AND(N4&gt;=20,N4&lt;=43),"sont plutôt des solitaires qui ne recherchent pas - ou qui évitent même activement - les stimulations sociales",))</f>
        <v>Les personnes grégaires apprécient la compagnie d ’autrui</v>
      </c>
      <c r="I38" s="148"/>
      <c r="J38" s="148"/>
      <c r="K38" s="148"/>
      <c r="L38" s="148"/>
      <c r="M38" s="148"/>
      <c r="N38" s="148"/>
      <c r="O38" s="148"/>
      <c r="P38" s="148"/>
      <c r="Q38" s="148"/>
      <c r="R38" s="148"/>
      <c r="S38" s="148"/>
      <c r="T38" s="148"/>
      <c r="U38" s="148"/>
      <c r="V38" s="148"/>
      <c r="W38" s="148"/>
      <c r="X38" s="148"/>
      <c r="Y38" s="149"/>
    </row>
    <row r="39" spans="5:25" x14ac:dyDescent="0.3">
      <c r="E39" s="153" t="s">
        <v>303</v>
      </c>
      <c r="F39" s="154"/>
      <c r="G39" s="155"/>
      <c r="H39" s="147">
        <f>IF(O4&gt;=58,"ont tendance à se montrer dominantes, énergiques et ambitieuses socialement",IF(AND(O4&gt;=20,O4&lt;=43),"préfèrent, en revanche, se tenir à l ’écart et laisser les autres parler",))</f>
        <v>0</v>
      </c>
      <c r="I39" s="148"/>
      <c r="J39" s="148"/>
      <c r="K39" s="148"/>
      <c r="L39" s="148"/>
      <c r="M39" s="148"/>
      <c r="N39" s="148"/>
      <c r="O39" s="148"/>
      <c r="P39" s="148"/>
      <c r="Q39" s="148"/>
      <c r="R39" s="148"/>
      <c r="S39" s="148"/>
      <c r="T39" s="148"/>
      <c r="U39" s="148"/>
      <c r="V39" s="148"/>
      <c r="W39" s="148"/>
      <c r="X39" s="148"/>
      <c r="Y39" s="149"/>
    </row>
    <row r="40" spans="5:25" x14ac:dyDescent="0.3">
      <c r="E40" s="156" t="s">
        <v>304</v>
      </c>
      <c r="F40" s="157"/>
      <c r="G40" s="158"/>
      <c r="H40" s="147" t="str">
        <f>IF(P4&gt;=58,"personnes ayant un rythme rapide. Elles sont vigoureuses, énergiques et ont besoin d ’être constamment occupées",IF(AND(P4&gt;=20,P4&lt;=43),"quant à elles, un tempo plus lent et plus tranquille même si elles ne sont pas nécessairement apathiques ou paresseuses",))</f>
        <v>personnes ayant un rythme rapide. Elles sont vigoureuses, énergiques et ont besoin d ’être constamment occupées</v>
      </c>
      <c r="I40" s="148"/>
      <c r="J40" s="148"/>
      <c r="K40" s="148"/>
      <c r="L40" s="148"/>
      <c r="M40" s="148"/>
      <c r="N40" s="148"/>
      <c r="O40" s="148"/>
      <c r="P40" s="148"/>
      <c r="Q40" s="148"/>
      <c r="R40" s="148"/>
      <c r="S40" s="148"/>
      <c r="T40" s="148"/>
      <c r="U40" s="148"/>
      <c r="V40" s="148"/>
      <c r="W40" s="148"/>
      <c r="X40" s="148"/>
      <c r="Y40" s="149"/>
    </row>
    <row r="41" spans="5:25" x14ac:dyDescent="0.3">
      <c r="E41" s="10" t="s">
        <v>305</v>
      </c>
      <c r="F41" s="10"/>
      <c r="G41" s="10"/>
      <c r="H41" s="147" t="str">
        <f>IF(Q4&gt;=58,"éprouvent un besoin impérieux d ’animation et de stimulation. Elles apprécient les couleurs vives et les environnements bruyants",IF(AND(Q4&gt;=20,Q4&lt;43),"n ’éprouvent, en revanche, pas beaucoup ce besoin de stimulation et mènent une vie que les précédentes pourraient trouver ennuyeuse",))</f>
        <v>éprouvent un besoin impérieux d ’animation et de stimulation. Elles apprécient les couleurs vives et les environnements bruyants</v>
      </c>
      <c r="I41" s="148"/>
      <c r="J41" s="148"/>
      <c r="K41" s="148"/>
      <c r="L41" s="148"/>
      <c r="M41" s="148"/>
      <c r="N41" s="148"/>
      <c r="O41" s="148"/>
      <c r="P41" s="148"/>
      <c r="Q41" s="148"/>
      <c r="R41" s="148"/>
      <c r="S41" s="148"/>
      <c r="T41" s="148"/>
      <c r="U41" s="148"/>
      <c r="V41" s="148"/>
      <c r="W41" s="148"/>
      <c r="X41" s="148"/>
      <c r="Y41" s="149"/>
    </row>
    <row r="42" spans="5:25" x14ac:dyDescent="0.3">
      <c r="E42" s="10" t="s">
        <v>306</v>
      </c>
      <c r="F42" s="10"/>
      <c r="G42" s="10"/>
      <c r="H42" s="147">
        <f>IF(R4&gt;=58,"cette échelle rient facilement et souvent. Elles sont gaies et optimistes",IF(AND(R4&gt;=20,R4&lt;=43),"Elles sont simplement moins exubérantes et moins vives",))</f>
        <v>0</v>
      </c>
      <c r="I42" s="148"/>
      <c r="J42" s="148"/>
      <c r="K42" s="148"/>
      <c r="L42" s="148"/>
      <c r="M42" s="148"/>
      <c r="N42" s="148"/>
      <c r="O42" s="148"/>
      <c r="P42" s="148"/>
      <c r="Q42" s="148"/>
      <c r="R42" s="148"/>
      <c r="S42" s="148"/>
      <c r="T42" s="148"/>
      <c r="U42" s="148"/>
      <c r="V42" s="148"/>
      <c r="W42" s="148"/>
      <c r="X42" s="148"/>
      <c r="Y42" s="149"/>
    </row>
    <row r="43" spans="5:25" x14ac:dyDescent="0.3">
      <c r="E43" s="150" t="s">
        <v>307</v>
      </c>
      <c r="F43" s="151"/>
      <c r="G43" s="152"/>
      <c r="H43" s="147">
        <f>IF(S4&gt;=58,"Elles élaborent et développent leur imaginaire et pensent que l ’imagination procure une vie riche et créative",IF(AND(S4&gt;=20,S4&lt;=43),"sont plus prosaïques et préfèrent s ’en tenir à ce qu ’elles font",))</f>
        <v>0</v>
      </c>
      <c r="I43" s="148"/>
      <c r="J43" s="148"/>
      <c r="K43" s="148"/>
      <c r="L43" s="148"/>
      <c r="M43" s="148"/>
      <c r="N43" s="148"/>
      <c r="O43" s="148"/>
      <c r="P43" s="148"/>
      <c r="Q43" s="148"/>
      <c r="R43" s="148"/>
      <c r="S43" s="148"/>
      <c r="T43" s="148"/>
      <c r="U43" s="148"/>
      <c r="V43" s="148"/>
      <c r="W43" s="148"/>
      <c r="X43" s="148"/>
      <c r="Y43" s="149"/>
    </row>
    <row r="44" spans="5:25" x14ac:dyDescent="0.3">
      <c r="E44" s="150" t="s">
        <v>308</v>
      </c>
      <c r="F44" s="151"/>
      <c r="G44" s="152"/>
      <c r="H44" s="147">
        <f>IF(T4&gt;=58,"apprécient l ’art et la beauté",IF(AND(T4&gt;=20,T4&lt;=43),"sont, en revanche, insensibles à l ’art et à la beauté ou s ’y intéressent peu",))</f>
        <v>0</v>
      </c>
      <c r="I44" s="148"/>
      <c r="J44" s="148"/>
      <c r="K44" s="148"/>
      <c r="L44" s="148"/>
      <c r="M44" s="148"/>
      <c r="N44" s="148"/>
      <c r="O44" s="148"/>
      <c r="P44" s="148"/>
      <c r="Q44" s="148"/>
      <c r="R44" s="148"/>
      <c r="S44" s="148"/>
      <c r="T44" s="148"/>
      <c r="U44" s="148"/>
      <c r="V44" s="148"/>
      <c r="W44" s="148"/>
      <c r="X44" s="148"/>
      <c r="Y44" s="149"/>
    </row>
    <row r="45" spans="5:25" x14ac:dyDescent="0.3">
      <c r="E45" s="150" t="s">
        <v>309</v>
      </c>
      <c r="F45" s="151"/>
      <c r="G45" s="152"/>
      <c r="H45" s="147" t="str">
        <f>IF(U4&gt;=58," éprouvent une gamme d ’états émotionnels différents plus large et les vivent plus profondément",IF(AND(U4&gt;=20,U4&lt;=43),": n ’accordent pas d ’importance aux états émotionnels et leurs affects semblent émoussées",))</f>
        <v xml:space="preserve"> éprouvent une gamme d ’états émotionnels différents plus large et les vivent plus profondément</v>
      </c>
      <c r="I45" s="148"/>
      <c r="J45" s="148"/>
      <c r="K45" s="148"/>
      <c r="L45" s="148"/>
      <c r="M45" s="148"/>
      <c r="N45" s="148"/>
      <c r="O45" s="148"/>
      <c r="P45" s="148"/>
      <c r="Q45" s="148"/>
      <c r="R45" s="148"/>
      <c r="S45" s="148"/>
      <c r="T45" s="148"/>
      <c r="U45" s="148"/>
      <c r="V45" s="148"/>
      <c r="W45" s="148"/>
      <c r="X45" s="148"/>
      <c r="Y45" s="149"/>
    </row>
    <row r="46" spans="5:25" x14ac:dyDescent="0.3">
      <c r="E46" s="150" t="s">
        <v>310</v>
      </c>
      <c r="F46" s="151"/>
      <c r="G46" s="152"/>
      <c r="H46" s="147">
        <f>IF(V4&gt;=58,"peuvent au cours du temps se lancer dans une série d ’activités de loisirs différentes",IF(AND(V4&gt;=20,V4&lt;=43),"trouvent le changement difficile et préfèrent s ’en tenir à ce qu’elles connaissent et apprécient déjà",))</f>
        <v>0</v>
      </c>
      <c r="I46" s="148"/>
      <c r="J46" s="148"/>
      <c r="K46" s="148"/>
      <c r="L46" s="148"/>
      <c r="M46" s="148"/>
      <c r="N46" s="148"/>
      <c r="O46" s="148"/>
      <c r="P46" s="148"/>
      <c r="Q46" s="148"/>
      <c r="R46" s="148"/>
      <c r="S46" s="148"/>
      <c r="T46" s="148"/>
      <c r="U46" s="148"/>
      <c r="V46" s="148"/>
      <c r="W46" s="148"/>
      <c r="X46" s="148"/>
      <c r="Y46" s="149"/>
    </row>
    <row r="47" spans="5:25" x14ac:dyDescent="0.3">
      <c r="E47" s="150" t="s">
        <v>311</v>
      </c>
      <c r="F47" s="151"/>
      <c r="G47" s="152"/>
      <c r="H47" s="147">
        <f>IF(W4&gt;=58,"une ouverture d ’esprit aux idées nouvelles et parfois non conventionnelles",IF(AND(W4&gt;=20,W4&lt;=43)," il n'accept pas des nouvelles idées",))</f>
        <v>0</v>
      </c>
      <c r="I47" s="148"/>
      <c r="J47" s="148"/>
      <c r="K47" s="148"/>
      <c r="L47" s="148"/>
      <c r="M47" s="148"/>
      <c r="N47" s="148"/>
      <c r="O47" s="148"/>
      <c r="P47" s="148"/>
      <c r="Q47" s="148"/>
      <c r="R47" s="148"/>
      <c r="S47" s="148"/>
      <c r="T47" s="148"/>
      <c r="U47" s="148"/>
      <c r="V47" s="148"/>
      <c r="W47" s="148"/>
      <c r="X47" s="148"/>
      <c r="Y47" s="149"/>
    </row>
    <row r="48" spans="5:25" x14ac:dyDescent="0.3">
      <c r="E48" s="150" t="s">
        <v>324</v>
      </c>
      <c r="F48" s="151"/>
      <c r="G48" s="152"/>
      <c r="H48" s="147">
        <f>IF(X4&gt;=58,"L ’ouverture aux valeurs est la disposition à remettre en question les valeurs sociales, politiques et religieuses",IF(AND(X4&gt;=20,X4&lt;=43),"les individus fermés ont tendance à accepter l ’autorité et à respecter les traditions",))</f>
        <v>0</v>
      </c>
      <c r="I48" s="148"/>
      <c r="J48" s="148"/>
      <c r="K48" s="148"/>
      <c r="L48" s="148"/>
      <c r="M48" s="148"/>
      <c r="N48" s="148"/>
      <c r="O48" s="148"/>
      <c r="P48" s="148"/>
      <c r="Q48" s="148"/>
      <c r="R48" s="148"/>
      <c r="S48" s="148"/>
      <c r="T48" s="148"/>
      <c r="U48" s="148"/>
      <c r="V48" s="148"/>
      <c r="W48" s="148"/>
      <c r="X48" s="148"/>
      <c r="Y48" s="149"/>
    </row>
    <row r="49" spans="5:28" x14ac:dyDescent="0.3">
      <c r="E49" s="159" t="s">
        <v>312</v>
      </c>
      <c r="F49" s="160"/>
      <c r="G49" s="161"/>
      <c r="H49" s="147" t="str">
        <f>IF(Y4&gt;=58,"ont tendance à penser que les autres sont honnêtes et bien intentionnés",IF(AND(Y4&gt;=20,Y4&lt;=43),"ont tendance à se montrer cyniques et sceptiques et à partir du principe que les autres peuvent être malhonnêtes ou dangereux",))</f>
        <v>ont tendance à se montrer cyniques et sceptiques et à partir du principe que les autres peuvent être malhonnêtes ou dangereux</v>
      </c>
      <c r="I49" s="148"/>
      <c r="J49" s="148"/>
      <c r="K49" s="148"/>
      <c r="L49" s="148"/>
      <c r="M49" s="148"/>
      <c r="N49" s="148"/>
      <c r="O49" s="148"/>
      <c r="P49" s="148"/>
      <c r="Q49" s="148"/>
      <c r="R49" s="148"/>
      <c r="S49" s="148"/>
      <c r="T49" s="148"/>
      <c r="U49" s="148"/>
      <c r="V49" s="148"/>
      <c r="W49" s="148"/>
      <c r="X49" s="148"/>
      <c r="Y49" s="149"/>
    </row>
    <row r="50" spans="5:28" x14ac:dyDescent="0.3">
      <c r="E50" s="159" t="s">
        <v>313</v>
      </c>
      <c r="F50" s="160"/>
      <c r="G50" s="161"/>
      <c r="H50" s="147" t="str">
        <f>IF(Z4&gt;=58,"sont franches et sincères",IF(AND(Z4&gt;=20,Z4&lt;=43),"cette personne est malhonnête ou manipulatrice",))</f>
        <v>sont franches et sincères</v>
      </c>
      <c r="I50" s="148"/>
      <c r="J50" s="148"/>
      <c r="K50" s="148"/>
      <c r="L50" s="148"/>
      <c r="M50" s="148"/>
      <c r="N50" s="148"/>
      <c r="O50" s="148"/>
      <c r="P50" s="148"/>
      <c r="Q50" s="148"/>
      <c r="R50" s="148"/>
      <c r="S50" s="148"/>
      <c r="T50" s="148"/>
      <c r="U50" s="148"/>
      <c r="V50" s="148"/>
      <c r="W50" s="148"/>
      <c r="X50" s="148"/>
      <c r="Y50" s="149"/>
    </row>
    <row r="51" spans="5:28" x14ac:dyDescent="0.3">
      <c r="E51" s="159" t="s">
        <v>314</v>
      </c>
      <c r="F51" s="160"/>
      <c r="G51" s="161"/>
      <c r="H51" s="147">
        <f>IF(AA4&gt;=58,"pérsonne génireux et leur volonté d ’aider ceux qui en ont besoin",IF(AND(AA4&gt;=20,AA4&lt;=43),"plus centrées sur elles-mêmes et peu enclines à s ’impliquer dans les problèmes d ’autrui",))</f>
        <v>0</v>
      </c>
      <c r="I51" s="148"/>
      <c r="J51" s="148"/>
      <c r="K51" s="148"/>
      <c r="L51" s="148"/>
      <c r="M51" s="148"/>
      <c r="N51" s="148"/>
      <c r="O51" s="148"/>
      <c r="P51" s="148"/>
      <c r="Q51" s="148"/>
      <c r="R51" s="148"/>
      <c r="S51" s="148"/>
      <c r="T51" s="148"/>
      <c r="U51" s="148"/>
      <c r="V51" s="148"/>
      <c r="W51" s="148"/>
      <c r="X51" s="148"/>
      <c r="Y51" s="149"/>
    </row>
    <row r="52" spans="5:28" x14ac:dyDescent="0.3">
      <c r="E52" s="159" t="s">
        <v>315</v>
      </c>
      <c r="F52" s="160"/>
      <c r="G52" s="161"/>
      <c r="H52" s="147" t="str">
        <f>IF(AB4&gt;=58,"des personne humbles et douces",IF(AND(AB4&gt;=20,AB4&lt;=43),"sont agressives, préfèrent la compétition à la coopération et n ’hésitent pas à exprimer leur colère quand c ’est nécessaire",))</f>
        <v>sont agressives, préfèrent la compétition à la coopération et n ’hésitent pas à exprimer leur colère quand c ’est nécessaire</v>
      </c>
      <c r="I52" s="148"/>
      <c r="J52" s="148"/>
      <c r="K52" s="148"/>
      <c r="L52" s="148"/>
      <c r="M52" s="148"/>
      <c r="N52" s="148"/>
      <c r="O52" s="148"/>
      <c r="P52" s="148"/>
      <c r="Q52" s="148"/>
      <c r="R52" s="148"/>
      <c r="S52" s="148"/>
      <c r="T52" s="148"/>
      <c r="U52" s="148"/>
      <c r="V52" s="148"/>
      <c r="W52" s="148"/>
      <c r="X52" s="148"/>
      <c r="Y52" s="149"/>
    </row>
    <row r="53" spans="5:28" x14ac:dyDescent="0.3">
      <c r="E53" s="159" t="s">
        <v>316</v>
      </c>
      <c r="F53" s="160"/>
      <c r="G53" s="161"/>
      <c r="H53" s="147" t="str">
        <f>IF(AC4&gt;=58,"sont humbles et s ’effacent, bien qu’elles ne manquent pas toujours de confiance en elles ou d ’estime de soi",IF(AND(AC4&gt;=20,AC4&lt;=43),"ont une image positive d ’elles-mêmes et peuvent être perçues comme arrogantes et prétentieuses par les autres. Un « manque pathologique » de modestie fait partie de la conception clinique du narcissisme",))</f>
        <v>ont une image positive d ’elles-mêmes et peuvent être perçues comme arrogantes et prétentieuses par les autres. Un « manque pathologique » de modestie fait partie de la conception clinique du narcissisme</v>
      </c>
      <c r="I53" s="148"/>
      <c r="J53" s="148"/>
      <c r="K53" s="148"/>
      <c r="L53" s="148"/>
      <c r="M53" s="148"/>
      <c r="N53" s="148"/>
      <c r="O53" s="148"/>
      <c r="P53" s="148"/>
      <c r="Q53" s="148"/>
      <c r="R53" s="148"/>
      <c r="S53" s="148"/>
      <c r="T53" s="148"/>
      <c r="U53" s="148"/>
      <c r="V53" s="148"/>
      <c r="W53" s="148"/>
      <c r="X53" s="148"/>
      <c r="Y53" s="149"/>
    </row>
    <row r="54" spans="5:28" x14ac:dyDescent="0.3">
      <c r="E54" s="159" t="s">
        <v>317</v>
      </c>
      <c r="F54" s="160"/>
      <c r="G54" s="161"/>
      <c r="H54" s="147" t="str">
        <f>IF(AD4&gt;=58,"sont touchés par les besoins d ’autrui et mettent l ’accent sur l ’aspect humain de la politique sociale",IF(AND(AD4&gt;=20,AD4&lt;=43),"sont plus durs et moins émus par les appels à la pitié. Ils se considèrent comme des réalistes qui prennent des décisions rationnelles fondées sur une logique froide",))</f>
        <v>sont touchés par les besoins d ’autrui et mettent l ’accent sur l ’aspect humain de la politique sociale</v>
      </c>
      <c r="I54" s="148"/>
      <c r="J54" s="148"/>
      <c r="K54" s="148"/>
      <c r="L54" s="148"/>
      <c r="M54" s="148"/>
      <c r="N54" s="148"/>
      <c r="O54" s="148"/>
      <c r="P54" s="148"/>
      <c r="Q54" s="148"/>
      <c r="R54" s="148"/>
      <c r="S54" s="148"/>
      <c r="T54" s="148"/>
      <c r="U54" s="148"/>
      <c r="V54" s="148"/>
      <c r="W54" s="148"/>
      <c r="X54" s="148"/>
      <c r="Y54" s="149"/>
    </row>
    <row r="55" spans="5:28" x14ac:dyDescent="0.3">
      <c r="E55" s="162" t="s">
        <v>318</v>
      </c>
      <c r="F55" s="163"/>
      <c r="G55" s="164"/>
      <c r="H55" s="147">
        <f>IF(AE4&gt;=58,"se sentent bien préparées pour affronter la vie",IF(AND(AE4&gt;=20,AE4&lt;=43),"ont, en revanche, une piètre opinion de leurs capacités",))</f>
        <v>0</v>
      </c>
      <c r="I55" s="148"/>
      <c r="J55" s="148"/>
      <c r="K55" s="148"/>
      <c r="L55" s="148"/>
      <c r="M55" s="148"/>
      <c r="N55" s="148"/>
      <c r="O55" s="148"/>
      <c r="P55" s="148"/>
      <c r="Q55" s="148"/>
      <c r="R55" s="148"/>
      <c r="S55" s="148"/>
      <c r="T55" s="148"/>
      <c r="U55" s="148"/>
      <c r="V55" s="148"/>
      <c r="W55" s="148"/>
      <c r="X55" s="148"/>
      <c r="Y55" s="149"/>
    </row>
    <row r="56" spans="5:28" x14ac:dyDescent="0.3">
      <c r="E56" s="162" t="s">
        <v>319</v>
      </c>
      <c r="F56" s="163"/>
      <c r="G56" s="164"/>
      <c r="H56" s="147">
        <f>IF(AF4&gt;=58,"sont bien organisées, ordonnées et soignées",IF(AND(AF4&gt;=20,AF4&lt;=43),"sont incapables de s ’organiser et se décrivent comme manquant de méthode",))</f>
        <v>0</v>
      </c>
      <c r="I56" s="148"/>
      <c r="J56" s="148"/>
      <c r="K56" s="148"/>
      <c r="L56" s="148"/>
      <c r="M56" s="148"/>
      <c r="N56" s="148"/>
      <c r="O56" s="148"/>
      <c r="P56" s="148"/>
      <c r="Q56" s="148"/>
      <c r="R56" s="148"/>
      <c r="S56" s="148"/>
      <c r="T56" s="148"/>
      <c r="U56" s="148"/>
      <c r="V56" s="148"/>
      <c r="W56" s="148"/>
      <c r="X56" s="148"/>
      <c r="Y56" s="149"/>
    </row>
    <row r="57" spans="5:28" x14ac:dyDescent="0.3">
      <c r="E57" s="162" t="s">
        <v>320</v>
      </c>
      <c r="F57" s="163"/>
      <c r="G57" s="164"/>
      <c r="H57" s="147">
        <f>IF(AG4&gt;=58,"adhèrent strictement à leurs principes éthiques et remplissent scrupuleusement leurs obligations morales",IF(AND(AG4&gt;=20,AG4&lt;=43),"sont plus désinvoltes et peuvent se montrer peu fiables ou instables",))</f>
        <v>0</v>
      </c>
      <c r="I57" s="148"/>
      <c r="J57" s="148"/>
      <c r="K57" s="148"/>
      <c r="L57" s="148"/>
      <c r="M57" s="148"/>
      <c r="N57" s="148"/>
      <c r="O57" s="148"/>
      <c r="P57" s="148"/>
      <c r="Q57" s="148"/>
      <c r="R57" s="148"/>
      <c r="S57" s="148"/>
      <c r="T57" s="148"/>
      <c r="U57" s="148"/>
      <c r="V57" s="148"/>
      <c r="W57" s="148"/>
      <c r="X57" s="148"/>
      <c r="Y57" s="149"/>
    </row>
    <row r="58" spans="5:28" x14ac:dyDescent="0.3">
      <c r="E58" s="162" t="s">
        <v>321</v>
      </c>
      <c r="F58" s="163"/>
      <c r="G58" s="164"/>
      <c r="H58" s="147" t="str">
        <f>IF(AH4&gt;=58,"peuvent cependant trop s ’investir dans leur carrière et devenir des bourreaux de travail",IF(AND(AH4&gt;=20,AH4&lt;=43),"Elles ne « s ’accrochent pas » assez pour réussir. Elles manquent d ’ambition et peuvent donner l ’impression de n ’avoir aucun but dans l ’existence car elles se satisfont souvent de leur faible niveau de réussite",))</f>
        <v>peuvent cependant trop s ’investir dans leur carrière et devenir des bourreaux de travail</v>
      </c>
      <c r="I58" s="148"/>
      <c r="J58" s="148"/>
      <c r="K58" s="148"/>
      <c r="L58" s="148"/>
      <c r="M58" s="148"/>
      <c r="N58" s="148"/>
      <c r="O58" s="148"/>
      <c r="P58" s="148"/>
      <c r="Q58" s="148"/>
      <c r="R58" s="148"/>
      <c r="S58" s="148"/>
      <c r="T58" s="148"/>
      <c r="U58" s="148"/>
      <c r="V58" s="148"/>
      <c r="W58" s="148"/>
      <c r="X58" s="148"/>
      <c r="Y58" s="149"/>
    </row>
    <row r="59" spans="5:28" x14ac:dyDescent="0.3">
      <c r="E59" s="162" t="s">
        <v>322</v>
      </c>
      <c r="F59" s="163"/>
      <c r="G59" s="164"/>
      <c r="H59" s="147" t="str">
        <f>IF(AI4&gt;=58,"ont la faculté de se motiver pour mener à bien ce qu’il y a à faire",IF(AND(AI4&gt;=20,AI4&lt;=43),"ont, en revanche, tendance à remettre les corvées à plus tard et se montrent facilement découragées et désireuses de tout abandonner",))</f>
        <v>ont la faculté de se motiver pour mener à bien ce qu’il y a à faire</v>
      </c>
      <c r="I59" s="148"/>
      <c r="J59" s="148"/>
      <c r="K59" s="148"/>
      <c r="L59" s="148"/>
      <c r="M59" s="148"/>
      <c r="N59" s="148"/>
      <c r="O59" s="148"/>
      <c r="P59" s="148"/>
      <c r="Q59" s="148"/>
      <c r="R59" s="148"/>
      <c r="S59" s="148"/>
      <c r="T59" s="148"/>
      <c r="U59" s="148"/>
      <c r="V59" s="148"/>
      <c r="W59" s="148"/>
      <c r="X59" s="148"/>
      <c r="Y59" s="149"/>
      <c r="AB59" t="s">
        <v>337</v>
      </c>
    </row>
    <row r="60" spans="5:28" x14ac:dyDescent="0.3">
      <c r="E60" s="162" t="s">
        <v>323</v>
      </c>
      <c r="F60" s="163"/>
      <c r="G60" s="164"/>
      <c r="H60" s="147">
        <f>IF(AJ4&gt;=58,"sont prudentes et réfléchies",IF(AND(AJ4&gt;=20,AJ4&lt;=43),"sont précipitées. Elles parlent et agissent souvent sans envisager les conséquences de leurs paroles et de leurs actes. Dans le meilleur cas, elles sont spontanées et capables de prendre rapidement des décisions quand c ’est nécessaire",))</f>
        <v>0</v>
      </c>
      <c r="I60" s="148"/>
      <c r="J60" s="148"/>
      <c r="K60" s="148"/>
      <c r="L60" s="148"/>
      <c r="M60" s="148"/>
      <c r="N60" s="148"/>
      <c r="O60" s="148"/>
      <c r="P60" s="148"/>
      <c r="Q60" s="148"/>
      <c r="R60" s="148"/>
      <c r="S60" s="148"/>
      <c r="T60" s="148"/>
      <c r="U60" s="148"/>
      <c r="V60" s="148"/>
      <c r="W60" s="148"/>
      <c r="X60" s="148"/>
      <c r="Y60" s="149"/>
    </row>
  </sheetData>
  <mergeCells count="52">
    <mergeCell ref="E58:G58"/>
    <mergeCell ref="H58:Y58"/>
    <mergeCell ref="E59:G59"/>
    <mergeCell ref="H59:Y59"/>
    <mergeCell ref="E60:G60"/>
    <mergeCell ref="H60:Y60"/>
    <mergeCell ref="E55:G55"/>
    <mergeCell ref="H55:Y55"/>
    <mergeCell ref="E56:G56"/>
    <mergeCell ref="H56:Y56"/>
    <mergeCell ref="E57:G57"/>
    <mergeCell ref="H57:Y57"/>
    <mergeCell ref="H52:Y52"/>
    <mergeCell ref="E52:G52"/>
    <mergeCell ref="E53:G53"/>
    <mergeCell ref="H53:Y53"/>
    <mergeCell ref="E54:G54"/>
    <mergeCell ref="H54:Y54"/>
    <mergeCell ref="H49:Y49"/>
    <mergeCell ref="E49:G49"/>
    <mergeCell ref="E50:G50"/>
    <mergeCell ref="H50:Y50"/>
    <mergeCell ref="E51:G51"/>
    <mergeCell ref="H51:Y51"/>
    <mergeCell ref="H45:Y45"/>
    <mergeCell ref="H46:Y46"/>
    <mergeCell ref="E47:G47"/>
    <mergeCell ref="H47:Y47"/>
    <mergeCell ref="E48:G48"/>
    <mergeCell ref="H48:Y48"/>
    <mergeCell ref="E45:G45"/>
    <mergeCell ref="E46:G46"/>
    <mergeCell ref="H44:Y44"/>
    <mergeCell ref="E43:G43"/>
    <mergeCell ref="E44:G44"/>
    <mergeCell ref="E37:G37"/>
    <mergeCell ref="H37:Y37"/>
    <mergeCell ref="E38:G38"/>
    <mergeCell ref="H38:Y38"/>
    <mergeCell ref="E39:G39"/>
    <mergeCell ref="H39:Y39"/>
    <mergeCell ref="E40:G40"/>
    <mergeCell ref="H40:Y40"/>
    <mergeCell ref="H41:Y41"/>
    <mergeCell ref="H42:Y42"/>
    <mergeCell ref="H43:Y43"/>
    <mergeCell ref="H36:Y36"/>
    <mergeCell ref="H31:Y31"/>
    <mergeCell ref="H32:Y32"/>
    <mergeCell ref="H33:Y33"/>
    <mergeCell ref="H34:Y34"/>
    <mergeCell ref="H35:Y3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408"/>
  <sheetViews>
    <sheetView tabSelected="1" topLeftCell="M5" zoomScale="66" zoomScaleNormal="66" workbookViewId="0">
      <selection activeCell="X16" sqref="X16"/>
    </sheetView>
  </sheetViews>
  <sheetFormatPr baseColWidth="10" defaultRowHeight="14.4" x14ac:dyDescent="0.3"/>
  <cols>
    <col min="1" max="1" width="11.44140625" style="4"/>
    <col min="2" max="2" width="11.44140625" style="5"/>
    <col min="3" max="3" width="11.33203125" style="6" customWidth="1"/>
    <col min="4" max="7" width="11.44140625" style="6"/>
    <col min="8" max="8" width="4.5546875" style="3" customWidth="1"/>
    <col min="9" max="13" width="11.44140625" style="7"/>
    <col min="21" max="21" width="17.77734375" customWidth="1"/>
    <col min="23" max="23" width="18.77734375" customWidth="1"/>
    <col min="24" max="24" width="21.109375" customWidth="1"/>
    <col min="26" max="26" width="16.44140625" customWidth="1"/>
    <col min="27" max="27" width="14.6640625" customWidth="1"/>
    <col min="28" max="28" width="19.21875" customWidth="1"/>
    <col min="29" max="29" width="20.5546875" customWidth="1"/>
    <col min="30" max="30" width="22.6640625" customWidth="1"/>
    <col min="31" max="31" width="16.21875" customWidth="1"/>
  </cols>
  <sheetData>
    <row r="1" spans="1:33" x14ac:dyDescent="0.3">
      <c r="A1" s="4" t="s">
        <v>10</v>
      </c>
      <c r="B1" s="5" t="s">
        <v>65</v>
      </c>
      <c r="D1" s="170" t="s">
        <v>250</v>
      </c>
      <c r="E1" s="170"/>
      <c r="K1" s="7" t="s">
        <v>251</v>
      </c>
    </row>
    <row r="2" spans="1:33" x14ac:dyDescent="0.3">
      <c r="C2" s="6" t="s">
        <v>51</v>
      </c>
      <c r="D2" s="6" t="s">
        <v>52</v>
      </c>
      <c r="E2" s="6" t="s">
        <v>53</v>
      </c>
      <c r="F2" s="6" t="s">
        <v>54</v>
      </c>
      <c r="G2" s="6" t="s">
        <v>55</v>
      </c>
      <c r="I2" s="7" t="s">
        <v>51</v>
      </c>
      <c r="J2" s="7" t="s">
        <v>52</v>
      </c>
      <c r="K2" s="7" t="s">
        <v>53</v>
      </c>
      <c r="L2" s="7" t="s">
        <v>54</v>
      </c>
      <c r="M2" s="7" t="s">
        <v>55</v>
      </c>
    </row>
    <row r="3" spans="1:33" x14ac:dyDescent="0.3">
      <c r="A3" s="4">
        <v>1</v>
      </c>
      <c r="B3" s="5">
        <f>'Questionnaire '!A12</f>
        <v>0</v>
      </c>
      <c r="C3" s="6">
        <v>4</v>
      </c>
      <c r="D3" s="6">
        <v>3</v>
      </c>
      <c r="E3" s="6">
        <v>2</v>
      </c>
      <c r="F3" s="6">
        <v>1</v>
      </c>
      <c r="G3" s="6">
        <v>0</v>
      </c>
      <c r="I3" s="7">
        <f t="shared" ref="I3:I8" si="0">IF(B3=$C$2,C3,0)</f>
        <v>0</v>
      </c>
      <c r="J3" s="7">
        <f t="shared" ref="J3:J9" si="1">IF(B3=$D$2,D3,0)</f>
        <v>0</v>
      </c>
      <c r="K3" s="7">
        <f>IF(B3=$E$2,E3,0)</f>
        <v>0</v>
      </c>
      <c r="L3" s="7">
        <f>IF(B3=$F$2,F3,0)</f>
        <v>0</v>
      </c>
      <c r="M3" s="7">
        <f>IF(B3=$G$2,G3,0)</f>
        <v>0</v>
      </c>
      <c r="O3" s="9"/>
      <c r="P3" s="9" t="s">
        <v>289</v>
      </c>
      <c r="Q3" s="9" t="s">
        <v>288</v>
      </c>
      <c r="S3" s="10"/>
      <c r="T3" s="10" t="s">
        <v>287</v>
      </c>
      <c r="U3" s="10" t="s">
        <v>288</v>
      </c>
    </row>
    <row r="4" spans="1:33" x14ac:dyDescent="0.3">
      <c r="A4" s="4">
        <v>2</v>
      </c>
      <c r="B4" s="5">
        <f>'Questionnaire '!A13</f>
        <v>0</v>
      </c>
      <c r="C4" s="6">
        <v>0</v>
      </c>
      <c r="D4" s="6">
        <v>1</v>
      </c>
      <c r="E4" s="6">
        <v>2</v>
      </c>
      <c r="F4" s="6">
        <v>3</v>
      </c>
      <c r="G4" s="6">
        <v>4</v>
      </c>
      <c r="I4" s="7">
        <f t="shared" si="0"/>
        <v>0</v>
      </c>
      <c r="J4" s="7">
        <f t="shared" si="1"/>
        <v>0</v>
      </c>
      <c r="K4" s="7">
        <f t="shared" ref="K4:K43" si="2">IF(B4=$E$2,E4,0)</f>
        <v>0</v>
      </c>
      <c r="L4" s="7">
        <f>IF(B4=$F$2,F4,0)</f>
        <v>0</v>
      </c>
      <c r="M4" s="7">
        <f t="shared" ref="M4:M17" si="3">IF(B4=$G$2,G4,0)</f>
        <v>0</v>
      </c>
      <c r="O4" s="9" t="s">
        <v>252</v>
      </c>
      <c r="P4" s="9">
        <f>I3+J3+K3+L3+M3+I33+J33+K33+L33+M33+I63+J63+K63+L63+M63+I93+J93+K93+L93+M93+I123+J123+K123+L123+M123+I153+J153+K153+L153+M153+I183+J183+K183+L183+M183+I213+J213+K213+L213+M213</f>
        <v>0</v>
      </c>
      <c r="Q4" s="9">
        <v>56</v>
      </c>
      <c r="S4" s="10" t="s">
        <v>259</v>
      </c>
      <c r="T4" s="10">
        <f>I4+J4+K4+L4+M4+I34+J34+K34+L34+M34+I64+J64+K64+L64+M64+I94+J94+K94+L94+M94+I124+J124+K124+L124+M124+I154+J154+K154+L154+M154+I184+J184+K184+L184+M184+I214+J214+K214+L214+M214</f>
        <v>0</v>
      </c>
      <c r="U4" s="10">
        <v>48</v>
      </c>
    </row>
    <row r="5" spans="1:33" x14ac:dyDescent="0.3">
      <c r="A5" s="4">
        <v>3</v>
      </c>
      <c r="B5" s="5">
        <f>'Questionnaire '!A14</f>
        <v>0</v>
      </c>
      <c r="C5" s="6">
        <v>0</v>
      </c>
      <c r="D5" s="6">
        <v>1</v>
      </c>
      <c r="E5" s="6">
        <v>2</v>
      </c>
      <c r="F5" s="6">
        <v>3</v>
      </c>
      <c r="G5" s="6">
        <v>4</v>
      </c>
      <c r="I5" s="7">
        <f t="shared" si="0"/>
        <v>0</v>
      </c>
      <c r="J5" s="7">
        <f t="shared" si="1"/>
        <v>0</v>
      </c>
      <c r="K5" s="7">
        <f t="shared" si="2"/>
        <v>0</v>
      </c>
      <c r="L5" s="7">
        <f>IF(B5=$F$2,F5,0)</f>
        <v>0</v>
      </c>
      <c r="M5" s="7">
        <f t="shared" si="3"/>
        <v>0</v>
      </c>
      <c r="O5" s="9" t="s">
        <v>253</v>
      </c>
      <c r="P5" s="9">
        <f>I8+J8+K8+L8+M8+I38+J38+K38+L38+M38+I68+J68+K68+L68+M68+I98+J98+K98+L98+M98+I128+J128+K128+L128+M128+I158+J158+K158+L158+M158+I188+J188+K188+L188+M188+I218+J218+K218+L218+M218</f>
        <v>0</v>
      </c>
      <c r="Q5" s="9">
        <v>53</v>
      </c>
      <c r="S5" s="10" t="s">
        <v>260</v>
      </c>
      <c r="T5" s="10">
        <f>I9+J9+K9+L9+M9+I39+J39+K39+L39+M39+I69+J69+K69+L69+M69+I99+J99+K99+L99+M99+I129+J129+K129+L129+M129+I159+J159+K159+L159+M159+I189+J189+K189+L189+M189+I219+J219+K219+L219+M219</f>
        <v>0</v>
      </c>
      <c r="U5" s="10">
        <v>59</v>
      </c>
      <c r="X5" s="165"/>
      <c r="Y5" s="166"/>
      <c r="Z5" s="165"/>
      <c r="AA5" s="166"/>
      <c r="AB5" s="165"/>
      <c r="AC5" s="166"/>
      <c r="AD5" s="165"/>
      <c r="AE5" s="166"/>
      <c r="AF5" s="165"/>
      <c r="AG5" s="166"/>
    </row>
    <row r="6" spans="1:33" x14ac:dyDescent="0.3">
      <c r="A6" s="4">
        <v>4</v>
      </c>
      <c r="B6" s="5">
        <f>'Questionnaire '!A16</f>
        <v>0</v>
      </c>
      <c r="C6" s="6">
        <v>4</v>
      </c>
      <c r="D6" s="6">
        <v>3</v>
      </c>
      <c r="E6" s="6">
        <v>2</v>
      </c>
      <c r="F6" s="6">
        <v>1</v>
      </c>
      <c r="G6" s="6">
        <v>0</v>
      </c>
      <c r="I6" s="7">
        <f t="shared" si="0"/>
        <v>0</v>
      </c>
      <c r="J6" s="7">
        <f t="shared" si="1"/>
        <v>0</v>
      </c>
      <c r="K6" s="7">
        <f t="shared" si="2"/>
        <v>0</v>
      </c>
      <c r="L6" s="7">
        <f t="shared" ref="L6:L69" si="4">IF(B6=$F$2,F6,0)</f>
        <v>0</v>
      </c>
      <c r="M6" s="7">
        <f t="shared" si="3"/>
        <v>0</v>
      </c>
      <c r="O6" s="9" t="s">
        <v>254</v>
      </c>
      <c r="P6" s="9">
        <f>I13+J13+K13+L13+M13+I43+J43+K43+L43+M43+I73+J73+K73+L73+M73+I103+J103+K103+L103+M103+I133+J133+K133+L133+M133+I163+J163+K163+L163+M163+I193+J193+K193+L193+M193+I223+J223+K223+L223+M223</f>
        <v>0</v>
      </c>
      <c r="Q6" s="9">
        <v>49</v>
      </c>
      <c r="S6" s="10" t="s">
        <v>261</v>
      </c>
      <c r="T6" s="10">
        <f>I14+J14+K14+L14+M14+I44+J44+K44+L44+M44+I74+J74+K74+L74+M74+I104+J104+K104+L104+M104+I134+J134+K134+L134+M134+I164+J164+K164+L164+M164+I194+J194+K194+L194+M194+I224+J224+K224+L224+M224</f>
        <v>0</v>
      </c>
      <c r="U6" s="10">
        <v>47</v>
      </c>
      <c r="W6" s="1" t="s">
        <v>620</v>
      </c>
      <c r="X6" s="165" t="s">
        <v>605</v>
      </c>
      <c r="Y6" s="166"/>
      <c r="Z6" s="165" t="s">
        <v>606</v>
      </c>
      <c r="AA6" s="166"/>
      <c r="AB6" s="165" t="s">
        <v>607</v>
      </c>
      <c r="AC6" s="166"/>
      <c r="AD6" s="165" t="s">
        <v>608</v>
      </c>
      <c r="AE6" s="166"/>
      <c r="AF6" s="165" t="s">
        <v>609</v>
      </c>
      <c r="AG6" s="166"/>
    </row>
    <row r="7" spans="1:33" x14ac:dyDescent="0.3">
      <c r="A7" s="4">
        <v>5</v>
      </c>
      <c r="B7" s="5">
        <f>'Questionnaire '!A17</f>
        <v>0</v>
      </c>
      <c r="C7" s="6">
        <v>0</v>
      </c>
      <c r="D7" s="6">
        <v>1</v>
      </c>
      <c r="E7" s="6">
        <v>2</v>
      </c>
      <c r="F7" s="6">
        <v>3</v>
      </c>
      <c r="G7" s="6">
        <v>4</v>
      </c>
      <c r="I7" s="7">
        <f t="shared" si="0"/>
        <v>0</v>
      </c>
      <c r="J7" s="7">
        <f t="shared" si="1"/>
        <v>0</v>
      </c>
      <c r="K7" s="7">
        <f t="shared" si="2"/>
        <v>0</v>
      </c>
      <c r="L7" s="7">
        <f t="shared" si="4"/>
        <v>0</v>
      </c>
      <c r="M7" s="7">
        <f t="shared" si="3"/>
        <v>0</v>
      </c>
      <c r="O7" s="9" t="s">
        <v>255</v>
      </c>
      <c r="P7" s="9">
        <f>I18+J18+K18+L18+M18+I48+J48+K48+L48+M48+I78+J78+K78+L78+M78+I108+J108+K108+L108+M108+I138+J138+K138+L138+M138+I168+J168+K168+L168+M168+I198+J198+K198+L198+M198+I228+J228+K228+L228+M228</f>
        <v>0</v>
      </c>
      <c r="Q7" s="9">
        <v>46</v>
      </c>
      <c r="S7" s="10" t="s">
        <v>262</v>
      </c>
      <c r="T7" s="10">
        <f>I19+J19+K19+L19+M19+I49+J49+K49+L49+M49+I79+J79+K79+L79+M79+I109+J109+K109+L109+M109+I139+J139+K139+L139+M139+I169+J169+K169+L169+M169+I199+J199+K199+L199+M199+I229+J229+K229+L229+M229</f>
        <v>0</v>
      </c>
      <c r="U7" s="10">
        <v>60</v>
      </c>
      <c r="W7" s="1" t="s">
        <v>621</v>
      </c>
      <c r="X7" s="165">
        <v>20</v>
      </c>
      <c r="Y7" s="166"/>
      <c r="Z7" s="165">
        <v>20</v>
      </c>
      <c r="AA7" s="166"/>
      <c r="AB7" s="165">
        <v>20</v>
      </c>
      <c r="AC7" s="166"/>
      <c r="AD7" s="165">
        <v>20</v>
      </c>
      <c r="AE7" s="166"/>
      <c r="AF7" s="165">
        <v>20</v>
      </c>
      <c r="AG7" s="166"/>
    </row>
    <row r="8" spans="1:33" x14ac:dyDescent="0.3">
      <c r="A8" s="4">
        <v>6</v>
      </c>
      <c r="B8" s="5">
        <f>'Questionnaire '!A18</f>
        <v>0</v>
      </c>
      <c r="C8" s="6">
        <v>0</v>
      </c>
      <c r="D8" s="6">
        <v>1</v>
      </c>
      <c r="E8" s="6">
        <v>2</v>
      </c>
      <c r="F8" s="6">
        <v>3</v>
      </c>
      <c r="G8" s="6">
        <v>4</v>
      </c>
      <c r="I8" s="7">
        <f t="shared" si="0"/>
        <v>0</v>
      </c>
      <c r="J8" s="7">
        <f t="shared" si="1"/>
        <v>0</v>
      </c>
      <c r="K8" s="7">
        <f t="shared" si="2"/>
        <v>0</v>
      </c>
      <c r="L8" s="7">
        <f t="shared" si="4"/>
        <v>0</v>
      </c>
      <c r="M8" s="7">
        <f t="shared" si="3"/>
        <v>0</v>
      </c>
      <c r="O8" s="9" t="s">
        <v>256</v>
      </c>
      <c r="P8" s="9">
        <f>I23+J23+K23+L23+M23+I53+J53+K53+L53+M53+I83+J83+K83+L83+M83+I113+J113+K113+L113+M113+I143+J143+K143+L143+M143+I173+J173+K173+L173+M173+I203+J203+K203+L203+M203+I233+J233+K233+L233+M233</f>
        <v>0</v>
      </c>
      <c r="Q8" s="9">
        <v>55</v>
      </c>
      <c r="S8" s="10" t="s">
        <v>263</v>
      </c>
      <c r="T8" s="10">
        <f>I24+J24+K24+L24+M24+I54+J54+K54+L54+M54+I84+J84+K84+L84+M84+I114+J114+K114+L114+M114+I144+J144+K144+L144+M144+I174+J174+K174+L174+M174+I204+J204+K204+L204+M204+I234+J234+K234+L234+M234</f>
        <v>0</v>
      </c>
      <c r="U8" s="10">
        <v>59</v>
      </c>
      <c r="W8" s="1" t="s">
        <v>54</v>
      </c>
      <c r="X8" s="136" t="s">
        <v>610</v>
      </c>
      <c r="Y8" s="136" t="s">
        <v>611</v>
      </c>
      <c r="Z8" s="136" t="s">
        <v>612</v>
      </c>
      <c r="AA8" s="136" t="s">
        <v>613</v>
      </c>
      <c r="AB8" s="136" t="s">
        <v>614</v>
      </c>
      <c r="AC8" s="136" t="s">
        <v>615</v>
      </c>
      <c r="AD8" s="136" t="s">
        <v>616</v>
      </c>
      <c r="AE8" s="136" t="s">
        <v>617</v>
      </c>
      <c r="AF8" s="136" t="s">
        <v>618</v>
      </c>
      <c r="AG8" s="136" t="s">
        <v>619</v>
      </c>
    </row>
    <row r="9" spans="1:33" x14ac:dyDescent="0.3">
      <c r="A9" s="4">
        <v>7</v>
      </c>
      <c r="B9" s="5">
        <f>'Questionnaire '!A19</f>
        <v>0</v>
      </c>
      <c r="C9" s="6">
        <v>4</v>
      </c>
      <c r="D9" s="6">
        <v>3</v>
      </c>
      <c r="E9" s="6">
        <v>2</v>
      </c>
      <c r="F9" s="6">
        <v>1</v>
      </c>
      <c r="G9" s="6">
        <v>0</v>
      </c>
      <c r="I9" s="7">
        <f t="shared" ref="I9:I18" si="5">IF(B9=$C$2,C9,0)</f>
        <v>0</v>
      </c>
      <c r="J9" s="7">
        <f t="shared" si="1"/>
        <v>0</v>
      </c>
      <c r="K9" s="7">
        <f t="shared" si="2"/>
        <v>0</v>
      </c>
      <c r="L9" s="7">
        <f t="shared" si="4"/>
        <v>0</v>
      </c>
      <c r="M9" s="7">
        <f t="shared" si="3"/>
        <v>0</v>
      </c>
      <c r="O9" s="9" t="s">
        <v>257</v>
      </c>
      <c r="P9" s="9">
        <f>I28+J28+K28+L28+M28+I58+J58+K58+L58+M58+I88+J88+K88+L88+M88+I118+J118+K118+L118+M118+I148+J148+K148+L148+M148+I178+J178+K178+L178+M178+I208+J208+K208+L208+M208+I238+J238+K238+L238+M238</f>
        <v>0</v>
      </c>
      <c r="Q9" s="9">
        <v>46</v>
      </c>
      <c r="S9" s="10" t="s">
        <v>264</v>
      </c>
      <c r="T9" s="10">
        <f>I29+J29+K29+L29+M29+I59+J59+K59+L59+M59+I89+J89+K89+L89+M89+I119+J119+K119+L119+M119+I149+J149+K149+L149+M149+I179+J179+K179+L179+M179+I209+J209+K209+L209+M209+I239+J239+K239+L239+M239</f>
        <v>0</v>
      </c>
      <c r="U9" s="10">
        <v>53</v>
      </c>
      <c r="W9" s="1" t="s">
        <v>622</v>
      </c>
      <c r="X9" s="145">
        <v>4.5</v>
      </c>
      <c r="Y9" s="136">
        <v>5</v>
      </c>
      <c r="Z9" s="136">
        <v>5.5</v>
      </c>
      <c r="AA9" s="145">
        <v>4.8</v>
      </c>
      <c r="AB9" s="145">
        <v>8</v>
      </c>
      <c r="AC9" s="136">
        <v>6.5</v>
      </c>
      <c r="AD9" s="145">
        <v>3</v>
      </c>
      <c r="AE9" s="136">
        <v>4</v>
      </c>
      <c r="AF9" s="136">
        <v>5.5</v>
      </c>
      <c r="AG9" s="136">
        <v>6</v>
      </c>
    </row>
    <row r="10" spans="1:33" x14ac:dyDescent="0.3">
      <c r="A10" s="4">
        <v>8</v>
      </c>
      <c r="B10" s="5">
        <f>'Questionnaire '!A19</f>
        <v>0</v>
      </c>
      <c r="C10" s="6">
        <v>4</v>
      </c>
      <c r="D10" s="6">
        <v>3</v>
      </c>
      <c r="E10" s="6">
        <v>2</v>
      </c>
      <c r="F10" s="6">
        <v>1</v>
      </c>
      <c r="G10" s="6">
        <v>0</v>
      </c>
      <c r="I10" s="7">
        <f t="shared" si="5"/>
        <v>0</v>
      </c>
      <c r="J10" s="7">
        <f t="shared" ref="J10:J16" si="6">IF(B10=$D$2,D10,0)</f>
        <v>0</v>
      </c>
      <c r="K10" s="7">
        <f t="shared" si="2"/>
        <v>0</v>
      </c>
      <c r="L10" s="7">
        <f t="shared" si="4"/>
        <v>0</v>
      </c>
      <c r="M10" s="7">
        <f t="shared" si="3"/>
        <v>0</v>
      </c>
      <c r="O10" s="9" t="s">
        <v>258</v>
      </c>
      <c r="P10" s="9">
        <f>P4+P5+P6+P7+P8+P9</f>
        <v>0</v>
      </c>
      <c r="Q10" s="35">
        <v>51</v>
      </c>
      <c r="S10" s="10" t="s">
        <v>265</v>
      </c>
      <c r="T10" s="10">
        <f>T4+T5+T6+T7+T8+T9</f>
        <v>0</v>
      </c>
      <c r="U10" s="36">
        <v>56</v>
      </c>
    </row>
    <row r="11" spans="1:33" x14ac:dyDescent="0.3">
      <c r="A11" s="4">
        <v>9</v>
      </c>
      <c r="B11" s="5">
        <f>'Questionnaire '!A20</f>
        <v>0</v>
      </c>
      <c r="C11" s="6">
        <v>0</v>
      </c>
      <c r="D11" s="6">
        <v>1</v>
      </c>
      <c r="E11" s="6">
        <v>2</v>
      </c>
      <c r="F11" s="6">
        <v>3</v>
      </c>
      <c r="G11" s="6">
        <v>4</v>
      </c>
      <c r="I11" s="7">
        <f t="shared" si="5"/>
        <v>0</v>
      </c>
      <c r="J11" s="7">
        <f t="shared" si="6"/>
        <v>0</v>
      </c>
      <c r="K11" s="7">
        <f t="shared" si="2"/>
        <v>0</v>
      </c>
      <c r="L11" s="7">
        <f t="shared" si="4"/>
        <v>0</v>
      </c>
      <c r="M11" s="7">
        <f t="shared" si="3"/>
        <v>0</v>
      </c>
    </row>
    <row r="12" spans="1:33" x14ac:dyDescent="0.3">
      <c r="A12" s="4">
        <v>10</v>
      </c>
      <c r="B12" s="5">
        <f>'Questionnaire '!A21</f>
        <v>0</v>
      </c>
      <c r="C12" s="6">
        <v>4</v>
      </c>
      <c r="D12" s="6">
        <v>3</v>
      </c>
      <c r="E12" s="6">
        <v>2</v>
      </c>
      <c r="F12" s="6">
        <v>1</v>
      </c>
      <c r="G12" s="6">
        <v>0</v>
      </c>
      <c r="I12" s="7">
        <f t="shared" si="5"/>
        <v>0</v>
      </c>
      <c r="J12" s="7">
        <f t="shared" si="6"/>
        <v>0</v>
      </c>
      <c r="K12" s="7">
        <f t="shared" si="2"/>
        <v>0</v>
      </c>
      <c r="L12" s="7">
        <f t="shared" si="4"/>
        <v>0</v>
      </c>
      <c r="M12" s="7">
        <f t="shared" si="3"/>
        <v>0</v>
      </c>
      <c r="O12" s="11"/>
      <c r="P12" s="11" t="s">
        <v>287</v>
      </c>
      <c r="Q12" s="11" t="s">
        <v>288</v>
      </c>
    </row>
    <row r="13" spans="1:33" x14ac:dyDescent="0.3">
      <c r="A13" s="4">
        <v>11</v>
      </c>
      <c r="B13" s="5">
        <f>'Questionnaire '!A22</f>
        <v>0</v>
      </c>
      <c r="C13" s="6">
        <v>4</v>
      </c>
      <c r="D13" s="6">
        <v>3</v>
      </c>
      <c r="E13" s="6">
        <v>2</v>
      </c>
      <c r="F13" s="6">
        <v>1</v>
      </c>
      <c r="G13" s="6">
        <v>0</v>
      </c>
      <c r="I13" s="7">
        <f t="shared" si="5"/>
        <v>0</v>
      </c>
      <c r="J13" s="7">
        <f t="shared" si="6"/>
        <v>0</v>
      </c>
      <c r="K13" s="7">
        <f t="shared" si="2"/>
        <v>0</v>
      </c>
      <c r="L13" s="7">
        <f t="shared" si="4"/>
        <v>0</v>
      </c>
      <c r="M13" s="7">
        <f t="shared" si="3"/>
        <v>0</v>
      </c>
      <c r="O13" s="11" t="s">
        <v>266</v>
      </c>
      <c r="P13" s="11">
        <f>I5+J5+K5+L5+M5+I35+J35+K35+L35+M35+I65+J65+K65+L65+M65+I95+J95+K95+L95+M95+I125+J125+K125+L125+M125+I155+J155+K155+L155+M155+I185+J185+K185+L185+M185+I215+J215+K215+L215+M215</f>
        <v>0</v>
      </c>
      <c r="Q13" s="11">
        <v>49</v>
      </c>
      <c r="S13" s="12"/>
      <c r="T13" s="12" t="s">
        <v>289</v>
      </c>
      <c r="U13" s="12" t="s">
        <v>288</v>
      </c>
    </row>
    <row r="14" spans="1:33" x14ac:dyDescent="0.3">
      <c r="A14" s="4">
        <v>12</v>
      </c>
      <c r="B14" s="5">
        <f>'Questionnaire '!A23</f>
        <v>0</v>
      </c>
      <c r="C14" s="6">
        <v>0</v>
      </c>
      <c r="D14" s="6">
        <v>1</v>
      </c>
      <c r="E14" s="6">
        <v>2</v>
      </c>
      <c r="F14" s="6">
        <v>3</v>
      </c>
      <c r="G14" s="6">
        <v>4</v>
      </c>
      <c r="I14" s="7">
        <f t="shared" si="5"/>
        <v>0</v>
      </c>
      <c r="J14" s="7">
        <f t="shared" si="6"/>
        <v>0</v>
      </c>
      <c r="K14" s="7">
        <f t="shared" si="2"/>
        <v>0</v>
      </c>
      <c r="L14" s="7">
        <f t="shared" si="4"/>
        <v>0</v>
      </c>
      <c r="M14" s="7">
        <f t="shared" si="3"/>
        <v>0</v>
      </c>
      <c r="O14" s="11" t="s">
        <v>267</v>
      </c>
      <c r="P14" s="11">
        <f>I10+J10+K10+L10+M10+I40+J40+K40+L40+M40+I70+J70+K70+L70+M70+I100+J100+K100+L100+M100+I130+J130+K130+L130+M130+I160+J160+K160+L160+M160+I190+J190+K190+L190+M190+I220+J220+K220+L220+M220</f>
        <v>0</v>
      </c>
      <c r="Q14" s="11">
        <v>53</v>
      </c>
      <c r="S14" s="12" t="s">
        <v>273</v>
      </c>
      <c r="T14" s="12">
        <f>I6+J6+K6+L6+M6+I36+J36+K36+L36+M36+I66+J66+K66+L66+M66+I96+J96+K96+L96+M96+I126+J126+K126+L126+M126+I156+J156+K156+L156+M156+I186+J186+K186+L186+M186+I216+J216+K216+L216+M216</f>
        <v>0</v>
      </c>
      <c r="U14" s="12">
        <v>30</v>
      </c>
    </row>
    <row r="15" spans="1:33" x14ac:dyDescent="0.3">
      <c r="A15" s="4">
        <v>13</v>
      </c>
      <c r="B15" s="5">
        <f>'Questionnaire '!A24</f>
        <v>0</v>
      </c>
      <c r="C15" s="6">
        <v>0</v>
      </c>
      <c r="D15" s="6">
        <v>1</v>
      </c>
      <c r="E15" s="6">
        <v>2</v>
      </c>
      <c r="F15" s="6">
        <v>3</v>
      </c>
      <c r="G15" s="6">
        <v>4</v>
      </c>
      <c r="I15" s="7">
        <f t="shared" si="5"/>
        <v>0</v>
      </c>
      <c r="J15" s="7">
        <f t="shared" si="6"/>
        <v>0</v>
      </c>
      <c r="K15" s="7">
        <f t="shared" si="2"/>
        <v>0</v>
      </c>
      <c r="L15" s="7">
        <f t="shared" si="4"/>
        <v>0</v>
      </c>
      <c r="M15" s="7">
        <f t="shared" si="3"/>
        <v>0</v>
      </c>
      <c r="O15" s="11" t="s">
        <v>268</v>
      </c>
      <c r="P15" s="11">
        <f>I15+J15+K15+L15+M15+I45+J45+K45+L45+M45+I75+J75+K75+L75+M75+I105+J105+K105+L105+M105+I135+J135+K135+L135+M135+I165+J165+K165+L165+M165+I195+J195+K195+L195+M195+I225+J225+K225+L225+M225</f>
        <v>0</v>
      </c>
      <c r="Q15" s="11">
        <v>58</v>
      </c>
      <c r="S15" s="12" t="s">
        <v>274</v>
      </c>
      <c r="T15" s="12">
        <f>I11+J11+K11+L11+M11+I41+J41+K41+L41+M41+I71+J71+K71+L71+M71+I101+J101+K101+L101+M101+I131+J131+K131+L131+M131+I161+J161+K161+L161+M161+I191+J191+K191+L191+M191+I221+J221+K221+L221+M221</f>
        <v>0</v>
      </c>
      <c r="U15" s="12">
        <v>59</v>
      </c>
    </row>
    <row r="16" spans="1:33" x14ac:dyDescent="0.3">
      <c r="A16" s="4">
        <v>14</v>
      </c>
      <c r="B16" s="5">
        <f>'Questionnaire '!A25</f>
        <v>0</v>
      </c>
      <c r="C16" s="6">
        <v>4</v>
      </c>
      <c r="D16" s="6">
        <v>3</v>
      </c>
      <c r="E16" s="6">
        <v>2</v>
      </c>
      <c r="F16" s="6">
        <v>1</v>
      </c>
      <c r="G16" s="6">
        <v>0</v>
      </c>
      <c r="I16" s="7">
        <f t="shared" si="5"/>
        <v>0</v>
      </c>
      <c r="J16" s="7">
        <f t="shared" si="6"/>
        <v>0</v>
      </c>
      <c r="K16" s="7">
        <f t="shared" si="2"/>
        <v>0</v>
      </c>
      <c r="L16" s="7">
        <f t="shared" si="4"/>
        <v>0</v>
      </c>
      <c r="M16" s="7">
        <f t="shared" si="3"/>
        <v>0</v>
      </c>
      <c r="O16" s="11" t="s">
        <v>269</v>
      </c>
      <c r="P16" s="11">
        <f>I20+J20+K20+L20+M20+I50+J50+K50+L50+M50+I80+J80+K80+L80+M80+I110+J110+K110+L110+M110+I140+J140+K140+L140+M140+I170+J170+K170+L170+M170+I200+J200+K200+L200+M200+I230+J230+K230+L230+M230</f>
        <v>0</v>
      </c>
      <c r="Q16" s="11">
        <v>52</v>
      </c>
      <c r="S16" s="12" t="s">
        <v>275</v>
      </c>
      <c r="T16" s="12">
        <f>I16+J16+K16+L16+M16+I46+J46+K46+L46+M46+I76+J76+K76+L76+M76+I106+J106+K106+L106+M106+I136+J136+K136+L136+M136+I166+J166+K166+L166+M166+I196+J196+K196+L196+M196+I226+J226+K226+L226+M226</f>
        <v>0</v>
      </c>
      <c r="U16" s="12">
        <v>46</v>
      </c>
    </row>
    <row r="17" spans="1:24" x14ac:dyDescent="0.3">
      <c r="A17" s="4">
        <v>15</v>
      </c>
      <c r="B17" s="5">
        <f>'Questionnaire '!A26</f>
        <v>0</v>
      </c>
      <c r="C17" s="6">
        <v>0</v>
      </c>
      <c r="D17" s="6">
        <v>1</v>
      </c>
      <c r="E17" s="6">
        <v>2</v>
      </c>
      <c r="F17" s="6">
        <v>3</v>
      </c>
      <c r="G17" s="6">
        <v>4</v>
      </c>
      <c r="I17" s="7">
        <f t="shared" si="5"/>
        <v>0</v>
      </c>
      <c r="J17" s="7">
        <f t="shared" ref="J17:J27" si="7">IF(B17=$D$2,D17,0)</f>
        <v>0</v>
      </c>
      <c r="K17" s="7">
        <f t="shared" si="2"/>
        <v>0</v>
      </c>
      <c r="L17" s="7">
        <f t="shared" si="4"/>
        <v>0</v>
      </c>
      <c r="M17" s="7">
        <f t="shared" si="3"/>
        <v>0</v>
      </c>
      <c r="O17" s="11" t="s">
        <v>270</v>
      </c>
      <c r="P17" s="11">
        <f>I25+J25+K25+L25+M25+I55+J55+K55+L55+M55+I85+J85+K85+L85+M85+I115+J115+K115+L115+M115+I145+J145+K145+L145+M145+I175+J175+K175+L175+M175+I205+J205+K205+L205+M205+I235+J235+K235+L235+M235</f>
        <v>0</v>
      </c>
      <c r="Q17" s="11">
        <v>52</v>
      </c>
      <c r="S17" s="12" t="s">
        <v>276</v>
      </c>
      <c r="T17" s="12">
        <f>I21+J21+K21+L21+M21+I51+J51+K51+L51+M51+I81+J81+K81+L81+M81+I111+J111+K111+L111+M111+I141+J141+K141+L141+M141+I171+J171+K171+L171+M171+I201+J201+K201+L201+M201+I231+J231+K231+L231+M231</f>
        <v>0</v>
      </c>
      <c r="U17" s="12">
        <v>40</v>
      </c>
    </row>
    <row r="18" spans="1:24" x14ac:dyDescent="0.3">
      <c r="A18" s="4">
        <v>16</v>
      </c>
      <c r="B18" s="5">
        <f>'Questionnaire '!A27</f>
        <v>0</v>
      </c>
      <c r="C18" s="6">
        <v>0</v>
      </c>
      <c r="D18" s="6">
        <v>1</v>
      </c>
      <c r="E18" s="6">
        <v>2</v>
      </c>
      <c r="F18" s="6">
        <v>3</v>
      </c>
      <c r="G18" s="6">
        <v>4</v>
      </c>
      <c r="I18" s="7">
        <f t="shared" si="5"/>
        <v>0</v>
      </c>
      <c r="J18" s="7">
        <f t="shared" si="7"/>
        <v>0</v>
      </c>
      <c r="K18" s="7">
        <f t="shared" si="2"/>
        <v>0</v>
      </c>
      <c r="L18" s="7">
        <f t="shared" si="4"/>
        <v>0</v>
      </c>
      <c r="M18" s="7">
        <f t="shared" ref="M18:M81" si="8">IF(B18=$G$2,G18,0)</f>
        <v>0</v>
      </c>
      <c r="O18" s="11" t="s">
        <v>271</v>
      </c>
      <c r="P18" s="11">
        <f>I30+J30+K30+L30+M30+I60+J60+K60+L60+M60+I90+J90+K90+L90+M90+I120+J120+K120+L120+M120+I150+J150+K150+L150+M150+I180+J180+K180+L180+M180+I210+J210+K210+L210+M210+I240+J240+K240+L240+M240</f>
        <v>0</v>
      </c>
      <c r="Q18" s="11">
        <v>47</v>
      </c>
      <c r="S18" s="12" t="s">
        <v>277</v>
      </c>
      <c r="T18" s="12">
        <f>I26+J26+K26+L26+M26+I56+J56+K56+L56+M56+I86+J86+K86+L86+M86+I116+J116+K116+L116+M116+I146+J146+K146+L146+M146+I176+J176+K176+L176+M176+I206+J206+K206+L206+M206+I236+J236+K236+L236+M236</f>
        <v>0</v>
      </c>
      <c r="U18" s="12">
        <v>42</v>
      </c>
    </row>
    <row r="19" spans="1:24" x14ac:dyDescent="0.3">
      <c r="A19" s="4">
        <v>17</v>
      </c>
      <c r="B19" s="5">
        <f>'Questionnaire '!A28</f>
        <v>0</v>
      </c>
      <c r="C19" s="6">
        <v>4</v>
      </c>
      <c r="D19" s="6">
        <v>3</v>
      </c>
      <c r="E19" s="6">
        <v>2</v>
      </c>
      <c r="F19" s="6">
        <v>1</v>
      </c>
      <c r="G19" s="6">
        <v>0</v>
      </c>
      <c r="I19" s="7">
        <f t="shared" ref="I19:I34" si="9">IF(B19=$C$2,C19,0)</f>
        <v>0</v>
      </c>
      <c r="J19" s="7">
        <f t="shared" si="7"/>
        <v>0</v>
      </c>
      <c r="K19" s="7">
        <f t="shared" si="2"/>
        <v>0</v>
      </c>
      <c r="L19" s="7">
        <f t="shared" si="4"/>
        <v>0</v>
      </c>
      <c r="M19" s="7">
        <f t="shared" si="8"/>
        <v>0</v>
      </c>
      <c r="O19" s="11" t="s">
        <v>272</v>
      </c>
      <c r="P19" s="11">
        <f>P13+P14+P15+P16+P17+P18</f>
        <v>0</v>
      </c>
      <c r="Q19" s="37">
        <v>52</v>
      </c>
      <c r="S19" s="12" t="s">
        <v>278</v>
      </c>
      <c r="T19" s="12">
        <f>I31+J31+K31+L31+M31+I61+J61+K61+L61+M61+I91+J91+K91+L91+M91+I121+J121+K121+L121+M121+I151+J151+K151+L151+M151+I181+J181+K181+L181+M181+I211+J211+K211+L211+M211+I241+J241+K241+L241+M241</f>
        <v>0</v>
      </c>
      <c r="U19" s="12">
        <v>62</v>
      </c>
    </row>
    <row r="20" spans="1:24" x14ac:dyDescent="0.3">
      <c r="A20" s="4">
        <v>18</v>
      </c>
      <c r="B20" s="5">
        <f>'Questionnaire '!A29</f>
        <v>0</v>
      </c>
      <c r="C20" s="6">
        <v>4</v>
      </c>
      <c r="D20" s="6">
        <v>3</v>
      </c>
      <c r="E20" s="6">
        <v>2</v>
      </c>
      <c r="F20" s="6">
        <v>1</v>
      </c>
      <c r="G20" s="6">
        <v>0</v>
      </c>
      <c r="I20" s="7">
        <f t="shared" si="9"/>
        <v>0</v>
      </c>
      <c r="J20" s="7">
        <f t="shared" si="7"/>
        <v>0</v>
      </c>
      <c r="K20" s="7">
        <f t="shared" si="2"/>
        <v>0</v>
      </c>
      <c r="L20" s="7">
        <f t="shared" si="4"/>
        <v>0</v>
      </c>
      <c r="M20" s="7">
        <f t="shared" si="8"/>
        <v>0</v>
      </c>
      <c r="S20" s="12" t="s">
        <v>279</v>
      </c>
      <c r="T20" s="12">
        <f>T14+T15+T16+T17+T18+T19</f>
        <v>0</v>
      </c>
      <c r="U20" s="38">
        <v>53</v>
      </c>
    </row>
    <row r="21" spans="1:24" x14ac:dyDescent="0.3">
      <c r="A21" s="4">
        <v>19</v>
      </c>
      <c r="B21" s="5">
        <f>'Questionnaire '!A30</f>
        <v>0</v>
      </c>
      <c r="C21" s="6">
        <v>0</v>
      </c>
      <c r="D21" s="6">
        <v>1</v>
      </c>
      <c r="E21" s="6">
        <v>2</v>
      </c>
      <c r="F21" s="6">
        <v>3</v>
      </c>
      <c r="G21" s="6">
        <v>4</v>
      </c>
      <c r="I21" s="7">
        <f t="shared" si="9"/>
        <v>0</v>
      </c>
      <c r="J21" s="7">
        <f t="shared" si="7"/>
        <v>0</v>
      </c>
      <c r="K21" s="7">
        <f t="shared" si="2"/>
        <v>0</v>
      </c>
      <c r="L21" s="7">
        <f t="shared" si="4"/>
        <v>0</v>
      </c>
      <c r="M21" s="7">
        <f t="shared" si="8"/>
        <v>0</v>
      </c>
      <c r="O21" s="13"/>
      <c r="P21" s="13" t="s">
        <v>287</v>
      </c>
      <c r="Q21" s="13" t="s">
        <v>288</v>
      </c>
    </row>
    <row r="22" spans="1:24" x14ac:dyDescent="0.3">
      <c r="A22" s="4">
        <v>20</v>
      </c>
      <c r="B22" s="5">
        <f>'Questionnaire '!A31</f>
        <v>0</v>
      </c>
      <c r="C22" s="6">
        <v>4</v>
      </c>
      <c r="D22" s="6">
        <v>3</v>
      </c>
      <c r="E22" s="6">
        <v>2</v>
      </c>
      <c r="F22" s="6">
        <v>1</v>
      </c>
      <c r="G22" s="6">
        <v>0</v>
      </c>
      <c r="I22" s="7">
        <f t="shared" si="9"/>
        <v>0</v>
      </c>
      <c r="J22" s="7">
        <f t="shared" si="7"/>
        <v>0</v>
      </c>
      <c r="K22" s="7">
        <f t="shared" si="2"/>
        <v>0</v>
      </c>
      <c r="L22" s="7">
        <f t="shared" si="4"/>
        <v>0</v>
      </c>
      <c r="M22" s="7">
        <f t="shared" si="8"/>
        <v>0</v>
      </c>
      <c r="O22" s="13" t="s">
        <v>280</v>
      </c>
      <c r="P22" s="13">
        <f>I7+J7+K7+L7+M7+I37+J37+K37+L37+M37+I67+J67+K67+L67+M67+I97+J97+K97+L97+M97+I127+J127+K127+L127+M127+I157+J157+K157+L157+M157+I187+J187+K187+L187+M187+I217+J217+K217+L217+M217</f>
        <v>0</v>
      </c>
      <c r="Q22" s="13">
        <v>51</v>
      </c>
    </row>
    <row r="23" spans="1:24" x14ac:dyDescent="0.3">
      <c r="A23" s="4">
        <v>21</v>
      </c>
      <c r="B23" s="5">
        <f>'Questionnaire '!A32</f>
        <v>0</v>
      </c>
      <c r="C23" s="6">
        <v>4</v>
      </c>
      <c r="D23" s="6">
        <v>3</v>
      </c>
      <c r="E23" s="6">
        <v>2</v>
      </c>
      <c r="F23" s="6">
        <v>1</v>
      </c>
      <c r="G23" s="6">
        <v>0</v>
      </c>
      <c r="I23" s="7">
        <f t="shared" si="9"/>
        <v>0</v>
      </c>
      <c r="J23" s="7">
        <f t="shared" si="7"/>
        <v>0</v>
      </c>
      <c r="K23" s="7">
        <f t="shared" si="2"/>
        <v>0</v>
      </c>
      <c r="L23" s="7">
        <f t="shared" si="4"/>
        <v>0</v>
      </c>
      <c r="M23" s="7">
        <f t="shared" si="8"/>
        <v>0</v>
      </c>
      <c r="O23" s="13" t="s">
        <v>281</v>
      </c>
      <c r="P23" s="13">
        <f>I12+J12+K12+L12+M12+I42+J42+K42+L42+M42+I72+J72+K72+L72+M72+I102+J102+K102+L102+M102+I132+J132+K132+L132+M132+I162+J162+K162+L162+M162+I192+J192+K192+L192+M192+I222+J222+K222+L222+M222</f>
        <v>0</v>
      </c>
      <c r="Q23" s="13">
        <v>48</v>
      </c>
      <c r="X23" t="s">
        <v>687</v>
      </c>
    </row>
    <row r="24" spans="1:24" x14ac:dyDescent="0.3">
      <c r="A24" s="4">
        <v>22</v>
      </c>
      <c r="B24" s="5">
        <f>'Questionnaire '!A33</f>
        <v>0</v>
      </c>
      <c r="C24" s="6">
        <v>0</v>
      </c>
      <c r="D24" s="6">
        <v>1</v>
      </c>
      <c r="E24" s="6">
        <v>2</v>
      </c>
      <c r="F24" s="6">
        <v>3</v>
      </c>
      <c r="G24" s="6">
        <v>4</v>
      </c>
      <c r="I24" s="7">
        <f t="shared" si="9"/>
        <v>0</v>
      </c>
      <c r="J24" s="7">
        <f t="shared" si="7"/>
        <v>0</v>
      </c>
      <c r="K24" s="7">
        <f t="shared" si="2"/>
        <v>0</v>
      </c>
      <c r="L24" s="7">
        <f t="shared" si="4"/>
        <v>0</v>
      </c>
      <c r="M24" s="7">
        <f t="shared" si="8"/>
        <v>0</v>
      </c>
      <c r="O24" s="13" t="s">
        <v>282</v>
      </c>
      <c r="P24" s="13">
        <f>I17+J17+K17+L17+M17+I47+J47+K47+L47+M47+I77+J77+K77+L77+M77+I107+J107+K107+L107+M107+I137+J137+K137+L137+M137+I167+J167+K167+L167+M167+I197+J197+K197+L197+M197+I227+J227+K227+L227+M227</f>
        <v>0</v>
      </c>
      <c r="Q24" s="13">
        <v>51</v>
      </c>
      <c r="W24" t="s">
        <v>610</v>
      </c>
      <c r="X24">
        <v>6</v>
      </c>
    </row>
    <row r="25" spans="1:24" x14ac:dyDescent="0.3">
      <c r="A25" s="4">
        <v>23</v>
      </c>
      <c r="B25" s="5">
        <f>'Questionnaire '!A34</f>
        <v>0</v>
      </c>
      <c r="C25" s="6">
        <v>4</v>
      </c>
      <c r="D25" s="6">
        <v>3</v>
      </c>
      <c r="E25" s="6">
        <v>2</v>
      </c>
      <c r="F25" s="6">
        <v>1</v>
      </c>
      <c r="G25" s="6">
        <v>0</v>
      </c>
      <c r="I25" s="7">
        <f t="shared" si="9"/>
        <v>0</v>
      </c>
      <c r="J25" s="7">
        <f t="shared" si="7"/>
        <v>0</v>
      </c>
      <c r="K25" s="7">
        <f t="shared" si="2"/>
        <v>0</v>
      </c>
      <c r="L25" s="7">
        <f t="shared" si="4"/>
        <v>0</v>
      </c>
      <c r="M25" s="7">
        <f t="shared" si="8"/>
        <v>0</v>
      </c>
      <c r="O25" s="13" t="s">
        <v>283</v>
      </c>
      <c r="P25" s="13">
        <f>I22+J22+K22+L22+M22+I52+J52+K52+L52+M52+I82+J82+K82+L82+M82+I112+J112+K112+L112+M112+I142+J142+K142+L142+M142+I172+J172+K172+L172+M172+I202+J202+K202+L202+M202+I232+J232+K232+L232+M232</f>
        <v>0</v>
      </c>
      <c r="Q25" s="13">
        <v>65</v>
      </c>
      <c r="W25" t="s">
        <v>611</v>
      </c>
      <c r="X25">
        <v>5.0999999999999996</v>
      </c>
    </row>
    <row r="26" spans="1:24" x14ac:dyDescent="0.3">
      <c r="A26" s="4">
        <v>24</v>
      </c>
      <c r="B26" s="5">
        <f>'Questionnaire '!A35</f>
        <v>0</v>
      </c>
      <c r="C26" s="6">
        <v>0</v>
      </c>
      <c r="D26" s="6">
        <v>1</v>
      </c>
      <c r="E26" s="6">
        <v>2</v>
      </c>
      <c r="F26" s="6">
        <v>3</v>
      </c>
      <c r="G26" s="6">
        <v>4</v>
      </c>
      <c r="I26" s="7">
        <f t="shared" si="9"/>
        <v>0</v>
      </c>
      <c r="J26" s="7">
        <f t="shared" si="7"/>
        <v>0</v>
      </c>
      <c r="K26" s="7">
        <f t="shared" si="2"/>
        <v>0</v>
      </c>
      <c r="L26" s="7">
        <f t="shared" si="4"/>
        <v>0</v>
      </c>
      <c r="M26" s="7">
        <f t="shared" si="8"/>
        <v>0</v>
      </c>
      <c r="O26" s="13" t="s">
        <v>284</v>
      </c>
      <c r="P26" s="13">
        <f>I27+J27+K27+L27+M27+I57+J57+K57+L57+M57+I87+J87+K87+L87+M87+I117+J117+K117+L117+M117+I147+J147+K147+L147+M147+I177+J177+K177+L177+M177+I207+J207+K207+L207+M207+I237+J237+K237+L237+M237</f>
        <v>0</v>
      </c>
      <c r="Q26" s="13">
        <v>59</v>
      </c>
      <c r="W26" t="s">
        <v>612</v>
      </c>
      <c r="X26">
        <v>4.5</v>
      </c>
    </row>
    <row r="27" spans="1:24" x14ac:dyDescent="0.3">
      <c r="A27" s="4">
        <v>25</v>
      </c>
      <c r="B27" s="5">
        <f>'Questionnaire '!A36</f>
        <v>0</v>
      </c>
      <c r="C27" s="6">
        <v>0</v>
      </c>
      <c r="D27" s="6">
        <v>1</v>
      </c>
      <c r="E27" s="6">
        <v>2</v>
      </c>
      <c r="F27" s="6">
        <v>3</v>
      </c>
      <c r="G27" s="6">
        <v>4</v>
      </c>
      <c r="I27" s="7">
        <f t="shared" si="9"/>
        <v>0</v>
      </c>
      <c r="J27" s="7">
        <f t="shared" si="7"/>
        <v>0</v>
      </c>
      <c r="K27" s="7">
        <f t="shared" si="2"/>
        <v>0</v>
      </c>
      <c r="L27" s="7">
        <f t="shared" si="4"/>
        <v>0</v>
      </c>
      <c r="M27" s="7">
        <f t="shared" si="8"/>
        <v>0</v>
      </c>
      <c r="O27" s="13" t="s">
        <v>285</v>
      </c>
      <c r="P27" s="13">
        <f>I32+J32+K32+L32+M32+I62+J62+K62+L62+M62+I92+J92+K92+L92+M92+I122+J122+K122+L122+M122+I152+J152+K152+L152+M152+I182+J182+K182+L182+M182+I212+J212+K212+L212+M212+I242+J242+K242+L242+M242</f>
        <v>0</v>
      </c>
      <c r="Q27" s="13">
        <v>50</v>
      </c>
      <c r="W27" t="s">
        <v>613</v>
      </c>
      <c r="X27">
        <v>5.3</v>
      </c>
    </row>
    <row r="28" spans="1:24" x14ac:dyDescent="0.3">
      <c r="A28" s="4">
        <v>26</v>
      </c>
      <c r="B28" s="5">
        <f>'Questionnaire '!A37</f>
        <v>0</v>
      </c>
      <c r="C28" s="6">
        <v>0</v>
      </c>
      <c r="D28" s="6">
        <v>1</v>
      </c>
      <c r="E28" s="6">
        <v>2</v>
      </c>
      <c r="F28" s="6">
        <v>3</v>
      </c>
      <c r="G28" s="6">
        <v>4</v>
      </c>
      <c r="I28" s="7">
        <f t="shared" si="9"/>
        <v>0</v>
      </c>
      <c r="J28" s="7">
        <f t="shared" ref="J28:J91" si="10">IF(B28=$D$2,D28,0)</f>
        <v>0</v>
      </c>
      <c r="K28" s="7">
        <f t="shared" si="2"/>
        <v>0</v>
      </c>
      <c r="L28" s="7">
        <f t="shared" si="4"/>
        <v>0</v>
      </c>
      <c r="M28" s="7">
        <f t="shared" si="8"/>
        <v>0</v>
      </c>
      <c r="O28" s="13" t="s">
        <v>286</v>
      </c>
      <c r="P28" s="13">
        <f>P22+P23+P24+P25+P26+P27</f>
        <v>0</v>
      </c>
      <c r="Q28" s="39">
        <v>55</v>
      </c>
      <c r="W28" t="s">
        <v>614</v>
      </c>
      <c r="X28">
        <v>5.2</v>
      </c>
    </row>
    <row r="29" spans="1:24" x14ac:dyDescent="0.3">
      <c r="A29" s="4">
        <v>27</v>
      </c>
      <c r="B29" s="5">
        <f>'Questionnaire '!A38</f>
        <v>0</v>
      </c>
      <c r="C29" s="6">
        <v>4</v>
      </c>
      <c r="D29" s="6">
        <v>3</v>
      </c>
      <c r="E29" s="6">
        <v>2</v>
      </c>
      <c r="F29" s="6">
        <v>1</v>
      </c>
      <c r="G29" s="6">
        <v>0</v>
      </c>
      <c r="I29" s="7">
        <f t="shared" si="9"/>
        <v>0</v>
      </c>
      <c r="J29" s="7">
        <f t="shared" si="10"/>
        <v>0</v>
      </c>
      <c r="K29" s="7">
        <f t="shared" si="2"/>
        <v>0</v>
      </c>
      <c r="L29" s="7">
        <f t="shared" si="4"/>
        <v>0</v>
      </c>
      <c r="M29" s="7">
        <f t="shared" si="8"/>
        <v>0</v>
      </c>
      <c r="W29" t="s">
        <v>615</v>
      </c>
      <c r="X29">
        <v>5.05</v>
      </c>
    </row>
    <row r="30" spans="1:24" x14ac:dyDescent="0.3">
      <c r="A30" s="4">
        <v>28</v>
      </c>
      <c r="B30" s="5">
        <f>'Questionnaire '!A39</f>
        <v>0</v>
      </c>
      <c r="C30" s="6">
        <v>4</v>
      </c>
      <c r="D30" s="6">
        <v>3</v>
      </c>
      <c r="E30" s="6">
        <v>2</v>
      </c>
      <c r="F30" s="6">
        <v>1</v>
      </c>
      <c r="G30" s="6">
        <v>0</v>
      </c>
      <c r="I30" s="7">
        <f t="shared" si="9"/>
        <v>0</v>
      </c>
      <c r="J30" s="7">
        <f t="shared" si="10"/>
        <v>0</v>
      </c>
      <c r="K30" s="7">
        <f t="shared" si="2"/>
        <v>0</v>
      </c>
      <c r="L30" s="7">
        <f t="shared" si="4"/>
        <v>0</v>
      </c>
      <c r="M30" s="7">
        <f t="shared" si="8"/>
        <v>0</v>
      </c>
      <c r="W30" t="s">
        <v>616</v>
      </c>
      <c r="X30">
        <v>5.03</v>
      </c>
    </row>
    <row r="31" spans="1:24" x14ac:dyDescent="0.3">
      <c r="A31" s="4">
        <v>29</v>
      </c>
      <c r="B31" s="5">
        <f>'Questionnaire '!A40</f>
        <v>0</v>
      </c>
      <c r="C31" s="6">
        <v>0</v>
      </c>
      <c r="D31" s="6">
        <v>1</v>
      </c>
      <c r="E31" s="6">
        <v>2</v>
      </c>
      <c r="F31" s="6">
        <v>3</v>
      </c>
      <c r="G31" s="6">
        <v>4</v>
      </c>
      <c r="I31" s="7">
        <f t="shared" si="9"/>
        <v>0</v>
      </c>
      <c r="J31" s="7">
        <f t="shared" si="10"/>
        <v>0</v>
      </c>
      <c r="K31" s="7">
        <f t="shared" si="2"/>
        <v>0</v>
      </c>
      <c r="L31" s="7">
        <f t="shared" si="4"/>
        <v>0</v>
      </c>
      <c r="M31" s="7">
        <f t="shared" si="8"/>
        <v>0</v>
      </c>
      <c r="W31" t="s">
        <v>617</v>
      </c>
      <c r="X31">
        <v>5.5</v>
      </c>
    </row>
    <row r="32" spans="1:24" x14ac:dyDescent="0.3">
      <c r="A32" s="4">
        <v>30</v>
      </c>
      <c r="B32" s="5">
        <f>'Questionnaire '!A41</f>
        <v>0</v>
      </c>
      <c r="C32" s="6">
        <v>4</v>
      </c>
      <c r="D32" s="6">
        <v>3</v>
      </c>
      <c r="E32" s="6">
        <v>2</v>
      </c>
      <c r="F32" s="6">
        <v>1</v>
      </c>
      <c r="G32" s="6">
        <v>0</v>
      </c>
      <c r="I32" s="7">
        <f t="shared" si="9"/>
        <v>0</v>
      </c>
      <c r="J32" s="7">
        <f t="shared" si="10"/>
        <v>0</v>
      </c>
      <c r="K32" s="7">
        <f t="shared" si="2"/>
        <v>0</v>
      </c>
      <c r="L32" s="7">
        <f t="shared" si="4"/>
        <v>0</v>
      </c>
      <c r="M32" s="7">
        <f t="shared" si="8"/>
        <v>0</v>
      </c>
      <c r="O32" s="45" t="s">
        <v>383</v>
      </c>
      <c r="P32" s="45"/>
      <c r="S32" s="45" t="s">
        <v>384</v>
      </c>
      <c r="T32" s="45"/>
      <c r="W32" t="s">
        <v>618</v>
      </c>
      <c r="X32">
        <v>5.03</v>
      </c>
    </row>
    <row r="33" spans="1:24" x14ac:dyDescent="0.3">
      <c r="A33" s="4">
        <v>31</v>
      </c>
      <c r="B33" s="5">
        <f>'Questionnaire '!A42</f>
        <v>0</v>
      </c>
      <c r="C33" s="6">
        <v>0</v>
      </c>
      <c r="D33" s="6">
        <v>1</v>
      </c>
      <c r="E33" s="6">
        <v>2</v>
      </c>
      <c r="F33" s="6">
        <v>3</v>
      </c>
      <c r="G33" s="6">
        <v>4</v>
      </c>
      <c r="I33" s="7">
        <f t="shared" si="9"/>
        <v>0</v>
      </c>
      <c r="J33" s="7">
        <f t="shared" si="10"/>
        <v>0</v>
      </c>
      <c r="K33" s="7">
        <f t="shared" si="2"/>
        <v>0</v>
      </c>
      <c r="L33" s="7">
        <f t="shared" si="4"/>
        <v>0</v>
      </c>
      <c r="M33" s="7">
        <f t="shared" si="8"/>
        <v>0</v>
      </c>
      <c r="O33" s="1"/>
      <c r="P33" s="1" t="s">
        <v>287</v>
      </c>
      <c r="Q33" s="1" t="s">
        <v>288</v>
      </c>
      <c r="S33" s="1"/>
      <c r="T33" s="1" t="s">
        <v>287</v>
      </c>
      <c r="U33" s="1" t="s">
        <v>288</v>
      </c>
      <c r="W33" t="s">
        <v>688</v>
      </c>
      <c r="X33">
        <v>8</v>
      </c>
    </row>
    <row r="34" spans="1:24" x14ac:dyDescent="0.3">
      <c r="A34" s="4">
        <v>32</v>
      </c>
      <c r="B34" s="5">
        <f>'Questionnaire '!A43</f>
        <v>0</v>
      </c>
      <c r="C34" s="6">
        <v>4</v>
      </c>
      <c r="D34" s="6">
        <v>3</v>
      </c>
      <c r="E34" s="6">
        <v>2</v>
      </c>
      <c r="F34" s="6">
        <v>1</v>
      </c>
      <c r="G34" s="6">
        <v>0</v>
      </c>
      <c r="I34" s="7">
        <f t="shared" si="9"/>
        <v>0</v>
      </c>
      <c r="J34" s="7">
        <f t="shared" si="10"/>
        <v>0</v>
      </c>
      <c r="K34" s="7">
        <f t="shared" si="2"/>
        <v>0</v>
      </c>
      <c r="L34" s="7">
        <f t="shared" si="4"/>
        <v>0</v>
      </c>
      <c r="M34" s="7">
        <f t="shared" si="8"/>
        <v>0</v>
      </c>
      <c r="O34" s="1" t="s">
        <v>261</v>
      </c>
      <c r="P34" s="1">
        <f>T6</f>
        <v>0</v>
      </c>
      <c r="Q34" s="1">
        <f>U6</f>
        <v>47</v>
      </c>
      <c r="S34" s="1" t="s">
        <v>275</v>
      </c>
      <c r="T34" s="1">
        <f>T16</f>
        <v>0</v>
      </c>
      <c r="U34" s="1">
        <f>U16</f>
        <v>46</v>
      </c>
    </row>
    <row r="35" spans="1:24" x14ac:dyDescent="0.3">
      <c r="A35" s="4">
        <v>33</v>
      </c>
      <c r="B35" s="5">
        <f>'Questionnaire '!A44</f>
        <v>0</v>
      </c>
      <c r="C35" s="6">
        <v>4</v>
      </c>
      <c r="D35" s="6">
        <v>3</v>
      </c>
      <c r="E35" s="6">
        <v>2</v>
      </c>
      <c r="F35" s="6">
        <v>1</v>
      </c>
      <c r="G35" s="6">
        <v>0</v>
      </c>
      <c r="I35" s="7">
        <f>IF(B35=$C$2,C35,0)</f>
        <v>0</v>
      </c>
      <c r="J35" s="7">
        <f t="shared" si="10"/>
        <v>0</v>
      </c>
      <c r="K35" s="7">
        <f t="shared" si="2"/>
        <v>0</v>
      </c>
      <c r="L35" s="7">
        <f t="shared" si="4"/>
        <v>0</v>
      </c>
      <c r="M35" s="7">
        <f t="shared" si="8"/>
        <v>0</v>
      </c>
      <c r="O35" s="1" t="s">
        <v>253</v>
      </c>
      <c r="P35" s="1">
        <f>P5</f>
        <v>0</v>
      </c>
      <c r="Q35" s="1">
        <f>Q5</f>
        <v>53</v>
      </c>
      <c r="S35" s="1" t="s">
        <v>259</v>
      </c>
      <c r="T35" s="1">
        <f>T4</f>
        <v>0</v>
      </c>
      <c r="U35" s="1">
        <f>U4</f>
        <v>48</v>
      </c>
    </row>
    <row r="36" spans="1:24" x14ac:dyDescent="0.3">
      <c r="A36" s="4">
        <v>34</v>
      </c>
      <c r="B36" s="5">
        <f>'Questionnaire '!A45</f>
        <v>0</v>
      </c>
      <c r="C36" s="6">
        <v>0</v>
      </c>
      <c r="D36" s="6">
        <v>1</v>
      </c>
      <c r="E36" s="6">
        <v>2</v>
      </c>
      <c r="F36" s="6">
        <v>3</v>
      </c>
      <c r="G36" s="6">
        <v>4</v>
      </c>
      <c r="I36" s="7">
        <f t="shared" ref="I36:I63" si="11">IF(B36=$C$2,C36,0)</f>
        <v>0</v>
      </c>
      <c r="J36" s="7">
        <f t="shared" si="10"/>
        <v>0</v>
      </c>
      <c r="K36" s="7">
        <f t="shared" si="2"/>
        <v>0</v>
      </c>
      <c r="L36" s="7">
        <f t="shared" si="4"/>
        <v>0</v>
      </c>
      <c r="M36" s="7">
        <f t="shared" si="8"/>
        <v>0</v>
      </c>
      <c r="O36" s="1" t="s">
        <v>283</v>
      </c>
      <c r="P36" s="1">
        <f>P25</f>
        <v>0</v>
      </c>
      <c r="Q36" s="1">
        <f>Q25</f>
        <v>65</v>
      </c>
      <c r="S36" s="1" t="s">
        <v>273</v>
      </c>
      <c r="T36" s="1">
        <f>T14</f>
        <v>0</v>
      </c>
      <c r="U36" s="1">
        <f>U14</f>
        <v>30</v>
      </c>
      <c r="W36" t="s">
        <v>352</v>
      </c>
      <c r="X36">
        <v>5.6</v>
      </c>
    </row>
    <row r="37" spans="1:24" x14ac:dyDescent="0.3">
      <c r="A37" s="4">
        <v>35</v>
      </c>
      <c r="B37" s="5">
        <f>'Questionnaire '!A46</f>
        <v>0</v>
      </c>
      <c r="C37" s="6">
        <v>4</v>
      </c>
      <c r="D37" s="6">
        <v>3</v>
      </c>
      <c r="E37" s="6">
        <v>2</v>
      </c>
      <c r="F37" s="6">
        <v>1</v>
      </c>
      <c r="G37" s="6">
        <v>0</v>
      </c>
      <c r="I37" s="7">
        <f t="shared" si="11"/>
        <v>0</v>
      </c>
      <c r="J37" s="7">
        <f t="shared" si="10"/>
        <v>0</v>
      </c>
      <c r="K37" s="7">
        <f t="shared" si="2"/>
        <v>0</v>
      </c>
      <c r="L37" s="7">
        <f t="shared" si="4"/>
        <v>0</v>
      </c>
      <c r="M37" s="7">
        <f t="shared" si="8"/>
        <v>0</v>
      </c>
      <c r="O37" s="57" t="s">
        <v>451</v>
      </c>
      <c r="P37" s="171">
        <f>AVERAGE(Q34:Q36)</f>
        <v>55</v>
      </c>
      <c r="Q37" s="171"/>
      <c r="S37" s="1" t="s">
        <v>451</v>
      </c>
      <c r="T37" s="168">
        <f>AVERAGE(U34:U36)</f>
        <v>41.333333333333336</v>
      </c>
      <c r="U37" s="169"/>
      <c r="W37" t="s">
        <v>424</v>
      </c>
      <c r="X37">
        <v>5.5</v>
      </c>
    </row>
    <row r="38" spans="1:24" x14ac:dyDescent="0.3">
      <c r="A38" s="4">
        <v>36</v>
      </c>
      <c r="B38" s="5">
        <f>'Questionnaire '!A47</f>
        <v>0</v>
      </c>
      <c r="C38" s="6">
        <v>4</v>
      </c>
      <c r="D38" s="6">
        <v>3</v>
      </c>
      <c r="E38" s="6">
        <v>2</v>
      </c>
      <c r="F38" s="6">
        <v>1</v>
      </c>
      <c r="G38" s="6">
        <v>0</v>
      </c>
      <c r="I38" s="7">
        <f t="shared" si="11"/>
        <v>0</v>
      </c>
      <c r="J38" s="7">
        <f t="shared" si="10"/>
        <v>0</v>
      </c>
      <c r="K38" s="7">
        <f t="shared" si="2"/>
        <v>0</v>
      </c>
      <c r="L38" s="7">
        <f t="shared" si="4"/>
        <v>0</v>
      </c>
      <c r="M38" s="7">
        <f t="shared" si="8"/>
        <v>0</v>
      </c>
      <c r="W38" t="s">
        <v>651</v>
      </c>
      <c r="X38">
        <v>5.3</v>
      </c>
    </row>
    <row r="39" spans="1:24" x14ac:dyDescent="0.3">
      <c r="A39" s="4">
        <v>37</v>
      </c>
      <c r="B39" s="5">
        <f>'Questionnaire '!A48</f>
        <v>0</v>
      </c>
      <c r="C39" s="6">
        <v>0</v>
      </c>
      <c r="D39" s="6">
        <v>1</v>
      </c>
      <c r="E39" s="6">
        <v>2</v>
      </c>
      <c r="F39" s="6">
        <v>3</v>
      </c>
      <c r="G39" s="6">
        <v>4</v>
      </c>
      <c r="I39" s="7">
        <f t="shared" si="11"/>
        <v>0</v>
      </c>
      <c r="J39" s="7">
        <f t="shared" si="10"/>
        <v>0</v>
      </c>
      <c r="K39" s="7">
        <f t="shared" si="2"/>
        <v>0</v>
      </c>
      <c r="L39" s="7">
        <f t="shared" si="4"/>
        <v>0</v>
      </c>
      <c r="M39" s="7">
        <f t="shared" si="8"/>
        <v>0</v>
      </c>
      <c r="W39" t="s">
        <v>676</v>
      </c>
      <c r="X39">
        <v>5.0999999999999996</v>
      </c>
    </row>
    <row r="40" spans="1:24" x14ac:dyDescent="0.3">
      <c r="A40" s="4">
        <v>38</v>
      </c>
      <c r="B40" s="5">
        <f>'Questionnaire '!A49</f>
        <v>0</v>
      </c>
      <c r="C40" s="6">
        <v>0</v>
      </c>
      <c r="D40" s="6">
        <v>1</v>
      </c>
      <c r="E40" s="6">
        <v>2</v>
      </c>
      <c r="F40" s="6">
        <v>3</v>
      </c>
      <c r="G40" s="6">
        <v>4</v>
      </c>
      <c r="I40" s="7">
        <f t="shared" si="11"/>
        <v>0</v>
      </c>
      <c r="J40" s="7">
        <f t="shared" si="10"/>
        <v>0</v>
      </c>
      <c r="K40" s="7">
        <f t="shared" si="2"/>
        <v>0</v>
      </c>
      <c r="L40" s="7">
        <f t="shared" si="4"/>
        <v>0</v>
      </c>
      <c r="M40" s="7">
        <f t="shared" si="8"/>
        <v>0</v>
      </c>
      <c r="O40" s="45" t="s">
        <v>385</v>
      </c>
      <c r="S40" s="45" t="s">
        <v>386</v>
      </c>
      <c r="W40" t="s">
        <v>624</v>
      </c>
      <c r="X40">
        <v>5.2</v>
      </c>
    </row>
    <row r="41" spans="1:24" x14ac:dyDescent="0.3">
      <c r="A41" s="4">
        <v>39</v>
      </c>
      <c r="B41" s="5">
        <f>'Questionnaire '!A50</f>
        <v>0</v>
      </c>
      <c r="C41" s="6">
        <v>4</v>
      </c>
      <c r="D41" s="6">
        <v>3</v>
      </c>
      <c r="E41" s="6">
        <v>2</v>
      </c>
      <c r="F41" s="6">
        <v>1</v>
      </c>
      <c r="G41" s="6">
        <v>0</v>
      </c>
      <c r="I41" s="7">
        <f t="shared" si="11"/>
        <v>0</v>
      </c>
      <c r="J41" s="7">
        <f t="shared" si="10"/>
        <v>0</v>
      </c>
      <c r="K41" s="7">
        <f t="shared" si="2"/>
        <v>0</v>
      </c>
      <c r="L41" s="7">
        <f t="shared" si="4"/>
        <v>0</v>
      </c>
      <c r="M41" s="7">
        <f t="shared" si="8"/>
        <v>0</v>
      </c>
      <c r="O41" s="1"/>
      <c r="P41" s="1" t="s">
        <v>287</v>
      </c>
      <c r="Q41" s="1" t="s">
        <v>288</v>
      </c>
      <c r="S41" s="1"/>
      <c r="T41" s="1" t="s">
        <v>287</v>
      </c>
      <c r="U41" s="1" t="s">
        <v>288</v>
      </c>
    </row>
    <row r="42" spans="1:24" x14ac:dyDescent="0.3">
      <c r="A42" s="4">
        <v>40</v>
      </c>
      <c r="B42" s="5">
        <f>'Questionnaire '!A51</f>
        <v>0</v>
      </c>
      <c r="C42" s="6">
        <v>0</v>
      </c>
      <c r="D42" s="6">
        <v>1</v>
      </c>
      <c r="E42" s="6">
        <v>2</v>
      </c>
      <c r="F42" s="6">
        <v>3</v>
      </c>
      <c r="G42" s="6">
        <v>4</v>
      </c>
      <c r="I42" s="7">
        <f t="shared" si="11"/>
        <v>0</v>
      </c>
      <c r="J42" s="7">
        <f t="shared" si="10"/>
        <v>0</v>
      </c>
      <c r="K42" s="7">
        <f t="shared" si="2"/>
        <v>0</v>
      </c>
      <c r="L42" s="7">
        <f t="shared" si="4"/>
        <v>0</v>
      </c>
      <c r="M42" s="7">
        <f t="shared" si="8"/>
        <v>0</v>
      </c>
      <c r="O42" s="1" t="s">
        <v>275</v>
      </c>
      <c r="P42" s="1">
        <f>T16</f>
        <v>0</v>
      </c>
      <c r="Q42" s="1">
        <f>U16</f>
        <v>46</v>
      </c>
      <c r="S42" s="1" t="s">
        <v>285</v>
      </c>
      <c r="T42" s="1">
        <f>P27</f>
        <v>0</v>
      </c>
      <c r="U42" s="1">
        <f>Q27</f>
        <v>50</v>
      </c>
    </row>
    <row r="43" spans="1:24" x14ac:dyDescent="0.3">
      <c r="A43" s="4">
        <v>41</v>
      </c>
      <c r="B43" s="5">
        <f>'Questionnaire '!A52</f>
        <v>0</v>
      </c>
      <c r="C43" s="6">
        <v>0</v>
      </c>
      <c r="D43" s="6">
        <v>1</v>
      </c>
      <c r="E43" s="6">
        <v>2</v>
      </c>
      <c r="F43" s="6">
        <v>3</v>
      </c>
      <c r="G43" s="6">
        <v>4</v>
      </c>
      <c r="I43" s="7">
        <f t="shared" si="11"/>
        <v>0</v>
      </c>
      <c r="J43" s="7">
        <f t="shared" si="10"/>
        <v>0</v>
      </c>
      <c r="K43" s="7">
        <f t="shared" si="2"/>
        <v>0</v>
      </c>
      <c r="L43" s="7">
        <f t="shared" si="4"/>
        <v>0</v>
      </c>
      <c r="M43" s="7">
        <f t="shared" si="8"/>
        <v>0</v>
      </c>
      <c r="O43" s="1" t="s">
        <v>273</v>
      </c>
      <c r="P43" s="1">
        <f>T14</f>
        <v>0</v>
      </c>
      <c r="Q43" s="1">
        <f>U14</f>
        <v>30</v>
      </c>
      <c r="S43" s="1" t="s">
        <v>280</v>
      </c>
      <c r="T43" s="1">
        <f>P22</f>
        <v>0</v>
      </c>
      <c r="U43" s="1">
        <f>Q22</f>
        <v>51</v>
      </c>
    </row>
    <row r="44" spans="1:24" x14ac:dyDescent="0.3">
      <c r="A44" s="4">
        <v>42</v>
      </c>
      <c r="B44" s="5">
        <f>'Questionnaire '!A53</f>
        <v>0</v>
      </c>
      <c r="C44" s="6">
        <v>4</v>
      </c>
      <c r="D44" s="6">
        <v>3</v>
      </c>
      <c r="E44" s="6">
        <v>2</v>
      </c>
      <c r="F44" s="6">
        <v>1</v>
      </c>
      <c r="G44" s="6">
        <v>0</v>
      </c>
      <c r="I44" s="7">
        <f t="shared" si="11"/>
        <v>0</v>
      </c>
      <c r="J44" s="7">
        <f t="shared" si="10"/>
        <v>0</v>
      </c>
      <c r="K44" s="7">
        <f>IF(B44=$E$2,E44,0)</f>
        <v>0</v>
      </c>
      <c r="L44" s="7">
        <f t="shared" si="4"/>
        <v>0</v>
      </c>
      <c r="M44" s="7">
        <f t="shared" si="8"/>
        <v>0</v>
      </c>
      <c r="O44" s="1" t="s">
        <v>259</v>
      </c>
      <c r="P44" s="1">
        <f>T4</f>
        <v>0</v>
      </c>
      <c r="Q44" s="1">
        <f>U4</f>
        <v>48</v>
      </c>
      <c r="S44" s="1" t="s">
        <v>270</v>
      </c>
      <c r="T44" s="1">
        <f>P17</f>
        <v>0</v>
      </c>
      <c r="U44" s="1">
        <f>Q17</f>
        <v>52</v>
      </c>
    </row>
    <row r="45" spans="1:24" x14ac:dyDescent="0.3">
      <c r="A45" s="4">
        <v>43</v>
      </c>
      <c r="B45" s="5">
        <f>'Questionnaire '!A54</f>
        <v>0</v>
      </c>
      <c r="C45" s="6">
        <v>4</v>
      </c>
      <c r="D45" s="6">
        <v>3</v>
      </c>
      <c r="E45" s="6">
        <v>2</v>
      </c>
      <c r="F45" s="6">
        <v>1</v>
      </c>
      <c r="G45" s="6">
        <v>0</v>
      </c>
      <c r="I45" s="7">
        <f t="shared" si="11"/>
        <v>0</v>
      </c>
      <c r="J45" s="7">
        <f t="shared" si="10"/>
        <v>0</v>
      </c>
      <c r="K45" s="7">
        <f t="shared" ref="K45:K55" si="12">IF(B45=$E$2,E45,0)</f>
        <v>0</v>
      </c>
      <c r="L45" s="7">
        <f t="shared" si="4"/>
        <v>0</v>
      </c>
      <c r="M45" s="7">
        <f t="shared" si="8"/>
        <v>0</v>
      </c>
      <c r="O45" s="57" t="s">
        <v>453</v>
      </c>
      <c r="P45" s="168">
        <f>AVERAGE(Q42:Q44)</f>
        <v>41.333333333333336</v>
      </c>
      <c r="Q45" s="169"/>
      <c r="S45" s="1" t="s">
        <v>453</v>
      </c>
      <c r="T45" s="147">
        <f>AVERAGE(U42:U44)</f>
        <v>51</v>
      </c>
      <c r="U45" s="149"/>
    </row>
    <row r="46" spans="1:24" x14ac:dyDescent="0.3">
      <c r="A46" s="4">
        <v>44</v>
      </c>
      <c r="B46" s="5">
        <f>'Questionnaire '!A55</f>
        <v>0</v>
      </c>
      <c r="C46" s="6">
        <v>0</v>
      </c>
      <c r="D46" s="6">
        <v>1</v>
      </c>
      <c r="E46" s="6">
        <v>2</v>
      </c>
      <c r="F46" s="6">
        <v>3</v>
      </c>
      <c r="G46" s="6">
        <v>4</v>
      </c>
      <c r="I46" s="7">
        <f t="shared" si="11"/>
        <v>0</v>
      </c>
      <c r="J46" s="7">
        <f t="shared" si="10"/>
        <v>0</v>
      </c>
      <c r="K46" s="7">
        <f t="shared" si="12"/>
        <v>0</v>
      </c>
      <c r="L46" s="7">
        <f t="shared" si="4"/>
        <v>0</v>
      </c>
      <c r="M46" s="7">
        <f t="shared" si="8"/>
        <v>0</v>
      </c>
      <c r="O46" s="167" t="s">
        <v>387</v>
      </c>
      <c r="P46" s="167"/>
    </row>
    <row r="47" spans="1:24" x14ac:dyDescent="0.3">
      <c r="A47" s="4">
        <v>45</v>
      </c>
      <c r="B47" s="5">
        <f>'Questionnaire '!A56</f>
        <v>0</v>
      </c>
      <c r="C47" s="6">
        <v>4</v>
      </c>
      <c r="D47" s="6">
        <v>3</v>
      </c>
      <c r="E47" s="6">
        <v>2</v>
      </c>
      <c r="F47" s="6">
        <v>1</v>
      </c>
      <c r="G47" s="6">
        <v>0</v>
      </c>
      <c r="I47" s="7">
        <f t="shared" si="11"/>
        <v>0</v>
      </c>
      <c r="J47" s="7">
        <f t="shared" si="10"/>
        <v>0</v>
      </c>
      <c r="K47" s="7">
        <f t="shared" si="12"/>
        <v>0</v>
      </c>
      <c r="L47" s="7">
        <f t="shared" si="4"/>
        <v>0</v>
      </c>
      <c r="M47" s="7">
        <f t="shared" si="8"/>
        <v>0</v>
      </c>
      <c r="O47" s="1" t="s">
        <v>262</v>
      </c>
      <c r="P47" s="1">
        <f>T7</f>
        <v>0</v>
      </c>
      <c r="Q47" s="1">
        <f>U7</f>
        <v>60</v>
      </c>
      <c r="S47" s="45" t="s">
        <v>388</v>
      </c>
    </row>
    <row r="48" spans="1:24" x14ac:dyDescent="0.3">
      <c r="A48" s="4">
        <v>46</v>
      </c>
      <c r="B48" s="5">
        <f>'Questionnaire '!A57</f>
        <v>0</v>
      </c>
      <c r="C48" s="6">
        <v>4</v>
      </c>
      <c r="D48" s="6">
        <v>3</v>
      </c>
      <c r="E48" s="6">
        <v>2</v>
      </c>
      <c r="F48" s="6">
        <v>1</v>
      </c>
      <c r="G48" s="6">
        <v>0</v>
      </c>
      <c r="I48" s="7">
        <f t="shared" si="11"/>
        <v>0</v>
      </c>
      <c r="J48" s="7">
        <f t="shared" si="10"/>
        <v>0</v>
      </c>
      <c r="K48" s="7">
        <f t="shared" si="12"/>
        <v>0</v>
      </c>
      <c r="L48" s="7">
        <f t="shared" si="4"/>
        <v>0</v>
      </c>
      <c r="M48" s="7">
        <f t="shared" si="8"/>
        <v>0</v>
      </c>
      <c r="O48" s="1" t="s">
        <v>267</v>
      </c>
      <c r="P48" s="1">
        <f>P14</f>
        <v>0</v>
      </c>
      <c r="Q48" s="1">
        <f>Q14</f>
        <v>53</v>
      </c>
      <c r="S48" s="1"/>
      <c r="T48" s="1" t="s">
        <v>287</v>
      </c>
      <c r="U48" s="1" t="s">
        <v>288</v>
      </c>
    </row>
    <row r="49" spans="1:33" x14ac:dyDescent="0.3">
      <c r="A49" s="4">
        <v>47</v>
      </c>
      <c r="B49" s="5">
        <f>'Questionnaire '!A58</f>
        <v>0</v>
      </c>
      <c r="C49" s="6">
        <v>0</v>
      </c>
      <c r="D49" s="6">
        <v>1</v>
      </c>
      <c r="E49" s="6">
        <v>2</v>
      </c>
      <c r="F49" s="6">
        <v>3</v>
      </c>
      <c r="G49" s="6">
        <v>4</v>
      </c>
      <c r="I49" s="7">
        <f t="shared" si="11"/>
        <v>0</v>
      </c>
      <c r="J49" s="7">
        <f t="shared" si="10"/>
        <v>0</v>
      </c>
      <c r="K49" s="7">
        <f t="shared" si="12"/>
        <v>0</v>
      </c>
      <c r="L49" s="7">
        <f t="shared" si="4"/>
        <v>0</v>
      </c>
      <c r="M49" s="7">
        <f t="shared" si="8"/>
        <v>0</v>
      </c>
      <c r="O49" s="1" t="s">
        <v>263</v>
      </c>
      <c r="P49" s="1">
        <f>T8</f>
        <v>0</v>
      </c>
      <c r="Q49" s="1">
        <f>U8</f>
        <v>59</v>
      </c>
      <c r="S49" s="1" t="s">
        <v>281</v>
      </c>
      <c r="T49" s="1">
        <f>P23</f>
        <v>0</v>
      </c>
      <c r="U49" s="1">
        <f>Q23</f>
        <v>48</v>
      </c>
    </row>
    <row r="50" spans="1:33" x14ac:dyDescent="0.3">
      <c r="A50" s="4">
        <v>48</v>
      </c>
      <c r="B50" s="5">
        <f>'Questionnaire '!A59</f>
        <v>0</v>
      </c>
      <c r="C50" s="6">
        <v>0</v>
      </c>
      <c r="D50" s="6">
        <v>1</v>
      </c>
      <c r="E50" s="6">
        <v>2</v>
      </c>
      <c r="F50" s="6">
        <v>3</v>
      </c>
      <c r="G50" s="6">
        <v>4</v>
      </c>
      <c r="I50" s="7">
        <f t="shared" si="11"/>
        <v>0</v>
      </c>
      <c r="J50" s="7">
        <f t="shared" si="10"/>
        <v>0</v>
      </c>
      <c r="K50" s="7">
        <f t="shared" si="12"/>
        <v>0</v>
      </c>
      <c r="L50" s="7">
        <f t="shared" si="4"/>
        <v>0</v>
      </c>
      <c r="M50" s="7">
        <f t="shared" si="8"/>
        <v>0</v>
      </c>
      <c r="O50" s="1" t="s">
        <v>453</v>
      </c>
      <c r="P50" s="147">
        <f>AVERAGE(Q47:Q49)</f>
        <v>57.333333333333336</v>
      </c>
      <c r="Q50" s="149"/>
      <c r="S50" s="1" t="s">
        <v>284</v>
      </c>
      <c r="T50" s="1">
        <f>P26</f>
        <v>0</v>
      </c>
      <c r="U50" s="1">
        <f>Q26</f>
        <v>59</v>
      </c>
    </row>
    <row r="51" spans="1:33" x14ac:dyDescent="0.3">
      <c r="A51" s="4">
        <v>49</v>
      </c>
      <c r="B51" s="5">
        <f>'Questionnaire '!A60</f>
        <v>0</v>
      </c>
      <c r="C51" s="6">
        <v>4</v>
      </c>
      <c r="D51" s="6">
        <v>3</v>
      </c>
      <c r="E51" s="6">
        <v>2</v>
      </c>
      <c r="F51" s="6">
        <v>1</v>
      </c>
      <c r="G51" s="6">
        <v>0</v>
      </c>
      <c r="I51" s="7">
        <f t="shared" si="11"/>
        <v>0</v>
      </c>
      <c r="J51" s="7">
        <f t="shared" si="10"/>
        <v>0</v>
      </c>
      <c r="K51" s="7">
        <f t="shared" si="12"/>
        <v>0</v>
      </c>
      <c r="L51" s="7">
        <f t="shared" si="4"/>
        <v>0</v>
      </c>
      <c r="M51" s="7">
        <f t="shared" si="8"/>
        <v>0</v>
      </c>
      <c r="O51" s="45" t="s">
        <v>389</v>
      </c>
      <c r="S51" s="1" t="s">
        <v>276</v>
      </c>
      <c r="T51" s="1">
        <f>T17</f>
        <v>0</v>
      </c>
      <c r="U51" s="1">
        <f>U17</f>
        <v>40</v>
      </c>
    </row>
    <row r="52" spans="1:33" x14ac:dyDescent="0.3">
      <c r="A52" s="4">
        <v>50</v>
      </c>
      <c r="B52" s="5">
        <f>'Questionnaire '!A61</f>
        <v>0</v>
      </c>
      <c r="C52" s="6">
        <v>0</v>
      </c>
      <c r="D52" s="6">
        <v>1</v>
      </c>
      <c r="E52" s="6">
        <v>2</v>
      </c>
      <c r="F52" s="6">
        <v>3</v>
      </c>
      <c r="G52" s="6">
        <v>4</v>
      </c>
      <c r="I52" s="7">
        <f t="shared" si="11"/>
        <v>0</v>
      </c>
      <c r="J52" s="7">
        <f t="shared" si="10"/>
        <v>0</v>
      </c>
      <c r="K52" s="7">
        <f t="shared" si="12"/>
        <v>0</v>
      </c>
      <c r="L52" s="7">
        <f t="shared" si="4"/>
        <v>0</v>
      </c>
      <c r="M52" s="7">
        <f t="shared" si="8"/>
        <v>0</v>
      </c>
      <c r="O52" s="1"/>
      <c r="P52" s="1" t="s">
        <v>287</v>
      </c>
      <c r="Q52" s="1" t="s">
        <v>288</v>
      </c>
      <c r="S52" s="1" t="s">
        <v>453</v>
      </c>
      <c r="T52" s="147">
        <f>AVERAGE(U49:U51)</f>
        <v>49</v>
      </c>
      <c r="U52" s="149"/>
    </row>
    <row r="53" spans="1:33" x14ac:dyDescent="0.3">
      <c r="A53" s="4">
        <v>51</v>
      </c>
      <c r="B53" s="5">
        <f>'Questionnaire '!A62</f>
        <v>0</v>
      </c>
      <c r="C53" s="6">
        <v>0</v>
      </c>
      <c r="D53" s="6">
        <v>1</v>
      </c>
      <c r="E53" s="6">
        <v>2</v>
      </c>
      <c r="F53" s="6">
        <v>3</v>
      </c>
      <c r="G53" s="6">
        <v>4</v>
      </c>
      <c r="I53" s="7">
        <f t="shared" si="11"/>
        <v>0</v>
      </c>
      <c r="J53" s="7">
        <f t="shared" si="10"/>
        <v>0</v>
      </c>
      <c r="K53" s="7">
        <f t="shared" si="12"/>
        <v>0</v>
      </c>
      <c r="L53" s="7">
        <f t="shared" si="4"/>
        <v>0</v>
      </c>
      <c r="M53" s="7">
        <f t="shared" si="8"/>
        <v>0</v>
      </c>
      <c r="O53" s="1" t="s">
        <v>252</v>
      </c>
      <c r="P53" s="1">
        <f>P4</f>
        <v>0</v>
      </c>
      <c r="Q53" s="1">
        <f>Q4</f>
        <v>56</v>
      </c>
      <c r="S53" s="45" t="s">
        <v>390</v>
      </c>
    </row>
    <row r="54" spans="1:33" x14ac:dyDescent="0.3">
      <c r="A54" s="4">
        <v>52</v>
      </c>
      <c r="B54" s="5">
        <f>'Questionnaire '!A63</f>
        <v>0</v>
      </c>
      <c r="C54" s="6">
        <v>4</v>
      </c>
      <c r="D54" s="6">
        <v>3</v>
      </c>
      <c r="E54" s="6">
        <v>2</v>
      </c>
      <c r="F54" s="6">
        <v>1</v>
      </c>
      <c r="G54" s="6">
        <v>0</v>
      </c>
      <c r="I54" s="7">
        <f t="shared" si="11"/>
        <v>0</v>
      </c>
      <c r="J54" s="7">
        <f t="shared" si="10"/>
        <v>0</v>
      </c>
      <c r="K54" s="7">
        <f t="shared" si="12"/>
        <v>0</v>
      </c>
      <c r="L54" s="7">
        <f t="shared" si="4"/>
        <v>0</v>
      </c>
      <c r="M54" s="7">
        <f t="shared" si="8"/>
        <v>0</v>
      </c>
      <c r="O54" s="1" t="s">
        <v>257</v>
      </c>
      <c r="P54" s="1">
        <f>P9</f>
        <v>0</v>
      </c>
      <c r="Q54" s="1">
        <f>Q9</f>
        <v>46</v>
      </c>
      <c r="S54" s="1"/>
      <c r="T54" s="1" t="s">
        <v>287</v>
      </c>
      <c r="U54" s="1" t="s">
        <v>288</v>
      </c>
    </row>
    <row r="55" spans="1:33" x14ac:dyDescent="0.3">
      <c r="A55" s="4">
        <v>53</v>
      </c>
      <c r="B55" s="5">
        <f>'Questionnaire '!A64</f>
        <v>0</v>
      </c>
      <c r="C55" s="6">
        <v>4</v>
      </c>
      <c r="D55" s="6">
        <v>3</v>
      </c>
      <c r="E55" s="6">
        <v>2</v>
      </c>
      <c r="F55" s="6">
        <v>1</v>
      </c>
      <c r="G55" s="6">
        <v>0</v>
      </c>
      <c r="I55" s="7">
        <f t="shared" si="11"/>
        <v>0</v>
      </c>
      <c r="J55" s="7">
        <f t="shared" si="10"/>
        <v>0</v>
      </c>
      <c r="K55" s="7">
        <f t="shared" si="12"/>
        <v>0</v>
      </c>
      <c r="L55" s="7">
        <f t="shared" si="4"/>
        <v>0</v>
      </c>
      <c r="M55" s="7">
        <f t="shared" si="8"/>
        <v>0</v>
      </c>
      <c r="O55" s="1" t="s">
        <v>282</v>
      </c>
      <c r="P55" s="1">
        <f>P24</f>
        <v>0</v>
      </c>
      <c r="Q55" s="1">
        <f>Q24</f>
        <v>51</v>
      </c>
      <c r="S55" s="1" t="s">
        <v>256</v>
      </c>
      <c r="T55" s="1">
        <f>P8</f>
        <v>0</v>
      </c>
      <c r="U55" s="1">
        <f>Q8</f>
        <v>55</v>
      </c>
    </row>
    <row r="56" spans="1:33" x14ac:dyDescent="0.3">
      <c r="A56" s="4">
        <v>54</v>
      </c>
      <c r="B56" s="5">
        <f>'Questionnaire '!A65</f>
        <v>0</v>
      </c>
      <c r="C56" s="6">
        <v>0</v>
      </c>
      <c r="D56" s="6">
        <v>1</v>
      </c>
      <c r="E56" s="6">
        <v>2</v>
      </c>
      <c r="F56" s="6">
        <v>3</v>
      </c>
      <c r="G56" s="6">
        <v>4</v>
      </c>
      <c r="I56" s="7">
        <f t="shared" si="11"/>
        <v>0</v>
      </c>
      <c r="J56" s="7">
        <f t="shared" si="10"/>
        <v>0</v>
      </c>
      <c r="K56" s="7">
        <f>IF(B56=$E$2,E56,0)</f>
        <v>0</v>
      </c>
      <c r="L56" s="7">
        <f t="shared" si="4"/>
        <v>0</v>
      </c>
      <c r="M56" s="7">
        <f t="shared" si="8"/>
        <v>0</v>
      </c>
      <c r="O56" s="1" t="s">
        <v>453</v>
      </c>
      <c r="P56" s="147">
        <f>AVERAGE(Q53:Q55)</f>
        <v>51</v>
      </c>
      <c r="Q56" s="149"/>
      <c r="S56" s="1" t="s">
        <v>262</v>
      </c>
      <c r="T56" s="1">
        <f>T7</f>
        <v>0</v>
      </c>
      <c r="U56" s="1">
        <f>U7</f>
        <v>60</v>
      </c>
    </row>
    <row r="57" spans="1:33" x14ac:dyDescent="0.3">
      <c r="A57" s="4">
        <v>55</v>
      </c>
      <c r="B57" s="5">
        <f>'Questionnaire '!A66</f>
        <v>0</v>
      </c>
      <c r="C57" s="6">
        <v>4</v>
      </c>
      <c r="D57" s="6">
        <v>3</v>
      </c>
      <c r="E57" s="6">
        <v>2</v>
      </c>
      <c r="F57" s="6">
        <v>1</v>
      </c>
      <c r="G57" s="6">
        <v>0</v>
      </c>
      <c r="I57" s="7">
        <f t="shared" si="11"/>
        <v>0</v>
      </c>
      <c r="J57" s="7">
        <f t="shared" si="10"/>
        <v>0</v>
      </c>
      <c r="K57" s="7">
        <f t="shared" ref="K57:K64" si="13">IF(B57=$E$2,E57,0)</f>
        <v>0</v>
      </c>
      <c r="L57" s="7">
        <f t="shared" si="4"/>
        <v>0</v>
      </c>
      <c r="M57" s="7">
        <f t="shared" si="8"/>
        <v>0</v>
      </c>
      <c r="S57" s="1" t="s">
        <v>283</v>
      </c>
      <c r="T57" s="1">
        <f>P25</f>
        <v>0</v>
      </c>
      <c r="U57" s="1">
        <f>Q25</f>
        <v>65</v>
      </c>
    </row>
    <row r="58" spans="1:33" x14ac:dyDescent="0.3">
      <c r="A58" s="4">
        <v>56</v>
      </c>
      <c r="B58" s="5">
        <f>'Questionnaire '!A67</f>
        <v>0</v>
      </c>
      <c r="C58" s="6">
        <v>4</v>
      </c>
      <c r="D58" s="6">
        <v>3</v>
      </c>
      <c r="E58" s="6">
        <v>2</v>
      </c>
      <c r="F58" s="6">
        <v>1</v>
      </c>
      <c r="G58" s="6">
        <v>0</v>
      </c>
      <c r="I58" s="7">
        <f t="shared" si="11"/>
        <v>0</v>
      </c>
      <c r="J58" s="7">
        <f t="shared" si="10"/>
        <v>0</v>
      </c>
      <c r="K58" s="7">
        <f t="shared" si="13"/>
        <v>0</v>
      </c>
      <c r="L58" s="7">
        <f t="shared" si="4"/>
        <v>0</v>
      </c>
      <c r="M58" s="7">
        <f t="shared" si="8"/>
        <v>0</v>
      </c>
      <c r="S58" s="1" t="s">
        <v>453</v>
      </c>
      <c r="T58" s="168">
        <f>AVERAGE(U55:U57)</f>
        <v>60</v>
      </c>
      <c r="U58" s="169"/>
    </row>
    <row r="59" spans="1:33" x14ac:dyDescent="0.3">
      <c r="A59" s="4">
        <v>57</v>
      </c>
      <c r="B59" s="5">
        <f>'Questionnaire '!A68</f>
        <v>0</v>
      </c>
      <c r="C59" s="6">
        <v>0</v>
      </c>
      <c r="D59" s="6">
        <v>1</v>
      </c>
      <c r="E59" s="6">
        <v>2</v>
      </c>
      <c r="F59" s="6">
        <v>3</v>
      </c>
      <c r="G59" s="6">
        <v>4</v>
      </c>
      <c r="I59" s="7">
        <f t="shared" si="11"/>
        <v>0</v>
      </c>
      <c r="J59" s="7">
        <f t="shared" si="10"/>
        <v>0</v>
      </c>
      <c r="K59" s="7">
        <f t="shared" si="13"/>
        <v>0</v>
      </c>
      <c r="L59" s="7">
        <f t="shared" si="4"/>
        <v>0</v>
      </c>
      <c r="M59" s="7">
        <f t="shared" si="8"/>
        <v>0</v>
      </c>
    </row>
    <row r="60" spans="1:33" x14ac:dyDescent="0.3">
      <c r="A60" s="4">
        <v>58</v>
      </c>
      <c r="B60" s="5">
        <f>'Questionnaire '!A69</f>
        <v>0</v>
      </c>
      <c r="C60" s="6">
        <v>0</v>
      </c>
      <c r="D60" s="6">
        <v>1</v>
      </c>
      <c r="E60" s="6">
        <v>2</v>
      </c>
      <c r="F60" s="6">
        <v>3</v>
      </c>
      <c r="G60" s="6">
        <v>4</v>
      </c>
      <c r="I60" s="7">
        <f t="shared" si="11"/>
        <v>0</v>
      </c>
      <c r="J60" s="7">
        <f t="shared" si="10"/>
        <v>0</v>
      </c>
      <c r="K60" s="7">
        <f t="shared" si="13"/>
        <v>0</v>
      </c>
      <c r="L60" s="7">
        <f t="shared" si="4"/>
        <v>0</v>
      </c>
      <c r="M60" s="7">
        <f t="shared" si="8"/>
        <v>0</v>
      </c>
      <c r="X60" s="165" t="s">
        <v>605</v>
      </c>
      <c r="Y60" s="166"/>
      <c r="Z60" s="165" t="s">
        <v>606</v>
      </c>
      <c r="AA60" s="166"/>
      <c r="AB60" s="165" t="s">
        <v>607</v>
      </c>
      <c r="AC60" s="166"/>
      <c r="AD60" s="165" t="s">
        <v>608</v>
      </c>
      <c r="AE60" s="166"/>
      <c r="AF60" s="165" t="s">
        <v>609</v>
      </c>
      <c r="AG60" s="166"/>
    </row>
    <row r="61" spans="1:33" x14ac:dyDescent="0.3">
      <c r="A61" s="4">
        <v>59</v>
      </c>
      <c r="B61" s="5">
        <f>'Questionnaire '!A70</f>
        <v>0</v>
      </c>
      <c r="C61" s="6">
        <v>4</v>
      </c>
      <c r="D61" s="6">
        <v>3</v>
      </c>
      <c r="E61" s="6">
        <v>2</v>
      </c>
      <c r="F61" s="6">
        <v>1</v>
      </c>
      <c r="G61" s="6">
        <v>0</v>
      </c>
      <c r="I61" s="7">
        <f t="shared" si="11"/>
        <v>0</v>
      </c>
      <c r="J61" s="7">
        <f t="shared" si="10"/>
        <v>0</v>
      </c>
      <c r="K61" s="7">
        <f t="shared" si="13"/>
        <v>0</v>
      </c>
      <c r="L61" s="7">
        <f t="shared" si="4"/>
        <v>0</v>
      </c>
      <c r="M61" s="7">
        <f t="shared" si="8"/>
        <v>0</v>
      </c>
      <c r="X61" s="136" t="s">
        <v>610</v>
      </c>
      <c r="Y61" s="136" t="s">
        <v>611</v>
      </c>
      <c r="Z61" s="136" t="s">
        <v>612</v>
      </c>
      <c r="AA61" s="136" t="s">
        <v>613</v>
      </c>
      <c r="AB61" s="136" t="s">
        <v>614</v>
      </c>
      <c r="AC61" s="136" t="s">
        <v>615</v>
      </c>
      <c r="AD61" s="136" t="s">
        <v>616</v>
      </c>
      <c r="AE61" s="136" t="s">
        <v>617</v>
      </c>
      <c r="AF61" s="136" t="s">
        <v>618</v>
      </c>
      <c r="AG61" s="136" t="s">
        <v>619</v>
      </c>
    </row>
    <row r="62" spans="1:33" x14ac:dyDescent="0.3">
      <c r="A62" s="4">
        <v>60</v>
      </c>
      <c r="B62" s="5">
        <f>'Questionnaire '!A71</f>
        <v>0</v>
      </c>
      <c r="C62" s="6">
        <v>0</v>
      </c>
      <c r="D62" s="6">
        <v>1</v>
      </c>
      <c r="E62" s="6">
        <v>2</v>
      </c>
      <c r="F62" s="6">
        <v>3</v>
      </c>
      <c r="G62" s="6">
        <v>4</v>
      </c>
      <c r="I62" s="7">
        <f t="shared" si="11"/>
        <v>0</v>
      </c>
      <c r="J62" s="7">
        <f t="shared" si="10"/>
        <v>0</v>
      </c>
      <c r="K62" s="7">
        <f t="shared" si="13"/>
        <v>0</v>
      </c>
      <c r="L62" s="7">
        <f t="shared" si="4"/>
        <v>0</v>
      </c>
      <c r="M62" s="7">
        <f t="shared" si="8"/>
        <v>0</v>
      </c>
      <c r="X62" s="145">
        <v>5.7</v>
      </c>
      <c r="Y62" s="136">
        <v>5.0999999999999996</v>
      </c>
      <c r="Z62" s="136">
        <v>4.5</v>
      </c>
      <c r="AA62" s="145">
        <v>5.31</v>
      </c>
      <c r="AB62" s="145">
        <v>5.25</v>
      </c>
      <c r="AC62" s="136">
        <v>5.05</v>
      </c>
      <c r="AD62" s="145">
        <v>5.33</v>
      </c>
      <c r="AE62" s="136">
        <v>5.55</v>
      </c>
      <c r="AF62" s="136">
        <v>5.35</v>
      </c>
      <c r="AG62" s="136">
        <v>5.35</v>
      </c>
    </row>
    <row r="63" spans="1:33" x14ac:dyDescent="0.3">
      <c r="A63" s="4">
        <v>61</v>
      </c>
      <c r="B63" s="5">
        <f>'Questionnaire '!A72</f>
        <v>0</v>
      </c>
      <c r="C63" s="6">
        <v>4</v>
      </c>
      <c r="D63" s="6">
        <v>3</v>
      </c>
      <c r="E63" s="6">
        <v>2</v>
      </c>
      <c r="F63" s="6">
        <v>1</v>
      </c>
      <c r="G63" s="6">
        <v>0</v>
      </c>
      <c r="I63" s="7">
        <f t="shared" si="11"/>
        <v>0</v>
      </c>
      <c r="J63" s="7">
        <f t="shared" si="10"/>
        <v>0</v>
      </c>
      <c r="K63" s="7">
        <f t="shared" si="13"/>
        <v>0</v>
      </c>
      <c r="L63" s="7">
        <f t="shared" si="4"/>
        <v>0</v>
      </c>
      <c r="M63" s="7">
        <f t="shared" si="8"/>
        <v>0</v>
      </c>
    </row>
    <row r="64" spans="1:33" x14ac:dyDescent="0.3">
      <c r="A64" s="4">
        <v>62</v>
      </c>
      <c r="B64" s="5">
        <f>'Questionnaire '!A73</f>
        <v>0</v>
      </c>
      <c r="C64" s="6">
        <v>0</v>
      </c>
      <c r="D64" s="6">
        <v>1</v>
      </c>
      <c r="E64" s="6">
        <v>2</v>
      </c>
      <c r="F64" s="6">
        <v>3</v>
      </c>
      <c r="G64" s="6">
        <v>4</v>
      </c>
      <c r="I64" s="7">
        <f>IF(B64=$C$2,C64,0)</f>
        <v>0</v>
      </c>
      <c r="J64" s="7">
        <f t="shared" si="10"/>
        <v>0</v>
      </c>
      <c r="K64" s="7">
        <f t="shared" si="13"/>
        <v>0</v>
      </c>
      <c r="L64" s="7">
        <f t="shared" si="4"/>
        <v>0</v>
      </c>
      <c r="M64" s="7">
        <f t="shared" si="8"/>
        <v>0</v>
      </c>
    </row>
    <row r="65" spans="1:13" x14ac:dyDescent="0.3">
      <c r="A65" s="4">
        <v>63</v>
      </c>
      <c r="B65" s="5">
        <f>'Questionnaire '!A74</f>
        <v>0</v>
      </c>
      <c r="C65" s="6">
        <v>0</v>
      </c>
      <c r="D65" s="6">
        <v>1</v>
      </c>
      <c r="E65" s="6">
        <v>2</v>
      </c>
      <c r="F65" s="6">
        <v>3</v>
      </c>
      <c r="G65" s="6">
        <v>4</v>
      </c>
      <c r="I65" s="7">
        <f t="shared" ref="I65:I70" si="14">IF(B65=$C$2,C65,0)</f>
        <v>0</v>
      </c>
      <c r="J65" s="7">
        <f t="shared" si="10"/>
        <v>0</v>
      </c>
      <c r="K65" s="7">
        <f>IF(B65=$E$2,E65,0)</f>
        <v>0</v>
      </c>
      <c r="L65" s="7">
        <f t="shared" si="4"/>
        <v>0</v>
      </c>
      <c r="M65" s="7">
        <f t="shared" si="8"/>
        <v>0</v>
      </c>
    </row>
    <row r="66" spans="1:13" x14ac:dyDescent="0.3">
      <c r="A66" s="4">
        <v>64</v>
      </c>
      <c r="B66" s="5">
        <f>'Questionnaire '!A75</f>
        <v>0</v>
      </c>
      <c r="C66" s="6">
        <v>4</v>
      </c>
      <c r="D66" s="6">
        <v>3</v>
      </c>
      <c r="E66" s="6">
        <v>2</v>
      </c>
      <c r="F66" s="6">
        <v>1</v>
      </c>
      <c r="G66" s="6">
        <v>0</v>
      </c>
      <c r="I66" s="7">
        <f t="shared" si="14"/>
        <v>0</v>
      </c>
      <c r="J66" s="7">
        <f t="shared" si="10"/>
        <v>0</v>
      </c>
      <c r="K66" s="7">
        <f>IF(B66=$E$2,E66,0)</f>
        <v>0</v>
      </c>
      <c r="L66" s="7">
        <f t="shared" si="4"/>
        <v>0</v>
      </c>
      <c r="M66" s="7">
        <f t="shared" si="8"/>
        <v>0</v>
      </c>
    </row>
    <row r="67" spans="1:13" x14ac:dyDescent="0.3">
      <c r="A67" s="4">
        <v>65</v>
      </c>
      <c r="B67" s="5">
        <f>'Questionnaire '!A76</f>
        <v>0</v>
      </c>
      <c r="C67" s="6">
        <v>0</v>
      </c>
      <c r="D67" s="6">
        <v>1</v>
      </c>
      <c r="E67" s="6">
        <v>2</v>
      </c>
      <c r="F67" s="6">
        <v>3</v>
      </c>
      <c r="G67" s="6">
        <v>4</v>
      </c>
      <c r="I67" s="7">
        <f t="shared" si="14"/>
        <v>0</v>
      </c>
      <c r="J67" s="7">
        <f t="shared" si="10"/>
        <v>0</v>
      </c>
      <c r="K67" s="7">
        <f>IF(B67=$E$2,E67,0)</f>
        <v>0</v>
      </c>
      <c r="L67" s="7">
        <f t="shared" si="4"/>
        <v>0</v>
      </c>
      <c r="M67" s="7">
        <f t="shared" si="8"/>
        <v>0</v>
      </c>
    </row>
    <row r="68" spans="1:13" x14ac:dyDescent="0.3">
      <c r="A68" s="4">
        <v>66</v>
      </c>
      <c r="B68" s="5">
        <f>'Questionnaire '!A77</f>
        <v>0</v>
      </c>
      <c r="C68" s="6">
        <v>0</v>
      </c>
      <c r="D68" s="6">
        <v>1</v>
      </c>
      <c r="E68" s="6">
        <v>2</v>
      </c>
      <c r="F68" s="6">
        <v>3</v>
      </c>
      <c r="G68" s="6">
        <v>4</v>
      </c>
      <c r="I68" s="7">
        <f t="shared" si="14"/>
        <v>0</v>
      </c>
      <c r="J68" s="7">
        <f t="shared" si="10"/>
        <v>0</v>
      </c>
      <c r="K68" s="7">
        <f>IF(B68=$E$2,E68,0)</f>
        <v>0</v>
      </c>
      <c r="L68" s="7">
        <f t="shared" si="4"/>
        <v>0</v>
      </c>
      <c r="M68" s="7">
        <f t="shared" si="8"/>
        <v>0</v>
      </c>
    </row>
    <row r="69" spans="1:13" x14ac:dyDescent="0.3">
      <c r="A69" s="4">
        <v>67</v>
      </c>
      <c r="B69" s="5">
        <f>'Questionnaire '!A78</f>
        <v>0</v>
      </c>
      <c r="C69" s="6">
        <v>4</v>
      </c>
      <c r="D69" s="6">
        <v>3</v>
      </c>
      <c r="E69" s="6">
        <v>2</v>
      </c>
      <c r="F69" s="6">
        <v>1</v>
      </c>
      <c r="G69" s="6">
        <v>0</v>
      </c>
      <c r="I69" s="7">
        <f t="shared" si="14"/>
        <v>0</v>
      </c>
      <c r="J69" s="7">
        <f t="shared" si="10"/>
        <v>0</v>
      </c>
      <c r="K69" s="7">
        <f t="shared" ref="K69:K75" si="15">IF(B69=$E$2,E69,0)</f>
        <v>0</v>
      </c>
      <c r="L69" s="7">
        <f t="shared" si="4"/>
        <v>0</v>
      </c>
      <c r="M69" s="7">
        <f t="shared" si="8"/>
        <v>0</v>
      </c>
    </row>
    <row r="70" spans="1:13" x14ac:dyDescent="0.3">
      <c r="A70" s="4">
        <v>68</v>
      </c>
      <c r="B70" s="5">
        <f>'Questionnaire '!A79</f>
        <v>0</v>
      </c>
      <c r="C70" s="6">
        <v>4</v>
      </c>
      <c r="D70" s="6">
        <v>3</v>
      </c>
      <c r="E70" s="6">
        <v>2</v>
      </c>
      <c r="F70" s="6">
        <v>1</v>
      </c>
      <c r="G70" s="6">
        <v>0</v>
      </c>
      <c r="I70" s="7">
        <f t="shared" si="14"/>
        <v>0</v>
      </c>
      <c r="J70" s="7">
        <f t="shared" si="10"/>
        <v>0</v>
      </c>
      <c r="K70" s="7">
        <f t="shared" si="15"/>
        <v>0</v>
      </c>
      <c r="L70" s="7">
        <f t="shared" ref="L70:L133" si="16">IF(B70=$F$2,F70,0)</f>
        <v>0</v>
      </c>
      <c r="M70" s="7">
        <f t="shared" si="8"/>
        <v>0</v>
      </c>
    </row>
    <row r="71" spans="1:13" x14ac:dyDescent="0.3">
      <c r="A71" s="4">
        <v>69</v>
      </c>
      <c r="B71" s="5">
        <f>'Questionnaire '!A80</f>
        <v>0</v>
      </c>
      <c r="C71" s="6">
        <v>0</v>
      </c>
      <c r="D71" s="6">
        <v>1</v>
      </c>
      <c r="E71" s="6">
        <v>2</v>
      </c>
      <c r="F71" s="6">
        <v>3</v>
      </c>
      <c r="G71" s="6">
        <v>4</v>
      </c>
      <c r="I71" s="7">
        <f>IF(B71=$C$2,C71,0)</f>
        <v>0</v>
      </c>
      <c r="J71" s="7">
        <f t="shared" si="10"/>
        <v>0</v>
      </c>
      <c r="K71" s="7">
        <f t="shared" si="15"/>
        <v>0</v>
      </c>
      <c r="L71" s="7">
        <f t="shared" si="16"/>
        <v>0</v>
      </c>
      <c r="M71" s="7">
        <f t="shared" si="8"/>
        <v>0</v>
      </c>
    </row>
    <row r="72" spans="1:13" x14ac:dyDescent="0.3">
      <c r="A72" s="4">
        <v>70</v>
      </c>
      <c r="B72" s="5">
        <f>'Questionnaire '!A81</f>
        <v>0</v>
      </c>
      <c r="C72" s="6">
        <v>4</v>
      </c>
      <c r="D72" s="6">
        <v>3</v>
      </c>
      <c r="E72" s="6">
        <v>2</v>
      </c>
      <c r="F72" s="6">
        <v>1</v>
      </c>
      <c r="G72" s="6">
        <v>0</v>
      </c>
      <c r="I72" s="7">
        <f t="shared" ref="I72:I83" si="17">IF(B72=$C$2,C72,0)</f>
        <v>0</v>
      </c>
      <c r="J72" s="7">
        <f t="shared" si="10"/>
        <v>0</v>
      </c>
      <c r="K72" s="7">
        <f t="shared" si="15"/>
        <v>0</v>
      </c>
      <c r="L72" s="7">
        <f t="shared" si="16"/>
        <v>0</v>
      </c>
      <c r="M72" s="7">
        <f t="shared" si="8"/>
        <v>0</v>
      </c>
    </row>
    <row r="73" spans="1:13" x14ac:dyDescent="0.3">
      <c r="A73" s="4">
        <v>71</v>
      </c>
      <c r="B73" s="5">
        <f>'Questionnaire '!A82</f>
        <v>0</v>
      </c>
      <c r="C73" s="6">
        <v>4</v>
      </c>
      <c r="D73" s="6">
        <v>3</v>
      </c>
      <c r="E73" s="6">
        <v>2</v>
      </c>
      <c r="F73" s="6">
        <v>1</v>
      </c>
      <c r="G73" s="6">
        <v>0</v>
      </c>
      <c r="I73" s="7">
        <f t="shared" si="17"/>
        <v>0</v>
      </c>
      <c r="J73" s="7">
        <f t="shared" si="10"/>
        <v>0</v>
      </c>
      <c r="K73" s="7">
        <f t="shared" si="15"/>
        <v>0</v>
      </c>
      <c r="L73" s="7">
        <f t="shared" si="16"/>
        <v>0</v>
      </c>
      <c r="M73" s="7">
        <f t="shared" si="8"/>
        <v>0</v>
      </c>
    </row>
    <row r="74" spans="1:13" x14ac:dyDescent="0.3">
      <c r="A74" s="4">
        <v>72</v>
      </c>
      <c r="B74" s="5">
        <f>'Questionnaire '!A83</f>
        <v>0</v>
      </c>
      <c r="C74" s="6">
        <v>0</v>
      </c>
      <c r="D74" s="6">
        <v>1</v>
      </c>
      <c r="E74" s="6">
        <v>2</v>
      </c>
      <c r="F74" s="6">
        <v>3</v>
      </c>
      <c r="G74" s="6">
        <v>4</v>
      </c>
      <c r="I74" s="7">
        <f t="shared" si="17"/>
        <v>0</v>
      </c>
      <c r="J74" s="7">
        <f t="shared" si="10"/>
        <v>0</v>
      </c>
      <c r="K74" s="7">
        <f t="shared" si="15"/>
        <v>0</v>
      </c>
      <c r="L74" s="7">
        <f t="shared" si="16"/>
        <v>0</v>
      </c>
      <c r="M74" s="7">
        <f t="shared" si="8"/>
        <v>0</v>
      </c>
    </row>
    <row r="75" spans="1:13" x14ac:dyDescent="0.3">
      <c r="A75" s="4">
        <v>73</v>
      </c>
      <c r="B75" s="5">
        <f>'Questionnaire '!A84</f>
        <v>0</v>
      </c>
      <c r="C75" s="6">
        <v>0</v>
      </c>
      <c r="D75" s="6">
        <v>1</v>
      </c>
      <c r="E75" s="6">
        <v>2</v>
      </c>
      <c r="F75" s="6">
        <v>3</v>
      </c>
      <c r="G75" s="6">
        <v>4</v>
      </c>
      <c r="I75" s="7">
        <f t="shared" si="17"/>
        <v>0</v>
      </c>
      <c r="J75" s="7">
        <f t="shared" si="10"/>
        <v>0</v>
      </c>
      <c r="K75" s="7">
        <f t="shared" si="15"/>
        <v>0</v>
      </c>
      <c r="L75" s="7">
        <f t="shared" si="16"/>
        <v>0</v>
      </c>
      <c r="M75" s="7">
        <f t="shared" si="8"/>
        <v>0</v>
      </c>
    </row>
    <row r="76" spans="1:13" x14ac:dyDescent="0.3">
      <c r="A76" s="4">
        <v>74</v>
      </c>
      <c r="B76" s="5">
        <f>'Questionnaire '!A85</f>
        <v>0</v>
      </c>
      <c r="C76" s="6">
        <v>4</v>
      </c>
      <c r="D76" s="6">
        <v>3</v>
      </c>
      <c r="E76" s="6">
        <v>2</v>
      </c>
      <c r="F76" s="6">
        <v>1</v>
      </c>
      <c r="G76" s="6">
        <v>0</v>
      </c>
      <c r="I76" s="7">
        <f t="shared" si="17"/>
        <v>0</v>
      </c>
      <c r="J76" s="7">
        <f t="shared" si="10"/>
        <v>0</v>
      </c>
      <c r="K76" s="7">
        <f>IF(B76=$E$2,E76,0)</f>
        <v>0</v>
      </c>
      <c r="L76" s="7">
        <f t="shared" si="16"/>
        <v>0</v>
      </c>
      <c r="M76" s="7">
        <f t="shared" si="8"/>
        <v>0</v>
      </c>
    </row>
    <row r="77" spans="1:13" x14ac:dyDescent="0.3">
      <c r="A77" s="4">
        <v>75</v>
      </c>
      <c r="B77" s="5">
        <f>'Questionnaire '!A86</f>
        <v>0</v>
      </c>
      <c r="C77" s="6">
        <v>0</v>
      </c>
      <c r="D77" s="6">
        <v>1</v>
      </c>
      <c r="E77" s="6">
        <v>2</v>
      </c>
      <c r="F77" s="6">
        <v>3</v>
      </c>
      <c r="G77" s="6">
        <v>4</v>
      </c>
      <c r="I77" s="7">
        <f t="shared" si="17"/>
        <v>0</v>
      </c>
      <c r="J77" s="7">
        <f t="shared" si="10"/>
        <v>0</v>
      </c>
      <c r="K77" s="7">
        <f t="shared" ref="K77:K140" si="18">IF(B77=$E$2,E77,0)</f>
        <v>0</v>
      </c>
      <c r="L77" s="7">
        <f t="shared" si="16"/>
        <v>0</v>
      </c>
      <c r="M77" s="7">
        <f t="shared" si="8"/>
        <v>0</v>
      </c>
    </row>
    <row r="78" spans="1:13" x14ac:dyDescent="0.3">
      <c r="A78" s="4">
        <v>76</v>
      </c>
      <c r="B78" s="5">
        <f>'Questionnaire '!A87</f>
        <v>0</v>
      </c>
      <c r="C78" s="6">
        <v>0</v>
      </c>
      <c r="D78" s="6">
        <v>1</v>
      </c>
      <c r="E78" s="6">
        <v>2</v>
      </c>
      <c r="F78" s="6">
        <v>3</v>
      </c>
      <c r="G78" s="6">
        <v>4</v>
      </c>
      <c r="I78" s="7">
        <f t="shared" si="17"/>
        <v>0</v>
      </c>
      <c r="J78" s="7">
        <f t="shared" si="10"/>
        <v>0</v>
      </c>
      <c r="K78" s="7">
        <f t="shared" si="18"/>
        <v>0</v>
      </c>
      <c r="L78" s="7">
        <f t="shared" si="16"/>
        <v>0</v>
      </c>
      <c r="M78" s="7">
        <f t="shared" si="8"/>
        <v>0</v>
      </c>
    </row>
    <row r="79" spans="1:13" x14ac:dyDescent="0.3">
      <c r="A79" s="4">
        <v>77</v>
      </c>
      <c r="B79" s="5">
        <f>'Questionnaire '!A88</f>
        <v>0</v>
      </c>
      <c r="C79" s="6">
        <v>4</v>
      </c>
      <c r="D79" s="6">
        <v>3</v>
      </c>
      <c r="E79" s="6">
        <v>2</v>
      </c>
      <c r="F79" s="6">
        <v>1</v>
      </c>
      <c r="G79" s="6">
        <v>0</v>
      </c>
      <c r="I79" s="7">
        <f t="shared" si="17"/>
        <v>0</v>
      </c>
      <c r="J79" s="7">
        <f t="shared" si="10"/>
        <v>0</v>
      </c>
      <c r="K79" s="7">
        <f t="shared" si="18"/>
        <v>0</v>
      </c>
      <c r="L79" s="7">
        <f t="shared" si="16"/>
        <v>0</v>
      </c>
      <c r="M79" s="7">
        <f t="shared" si="8"/>
        <v>0</v>
      </c>
    </row>
    <row r="80" spans="1:13" x14ac:dyDescent="0.3">
      <c r="A80" s="4">
        <v>78</v>
      </c>
      <c r="B80" s="5">
        <f>'Questionnaire '!A89</f>
        <v>0</v>
      </c>
      <c r="C80" s="6">
        <v>4</v>
      </c>
      <c r="D80" s="6">
        <v>3</v>
      </c>
      <c r="E80" s="6">
        <v>2</v>
      </c>
      <c r="F80" s="6">
        <v>1</v>
      </c>
      <c r="G80" s="6">
        <v>0</v>
      </c>
      <c r="I80" s="7">
        <f t="shared" si="17"/>
        <v>0</v>
      </c>
      <c r="J80" s="7">
        <f t="shared" si="10"/>
        <v>0</v>
      </c>
      <c r="K80" s="7">
        <f t="shared" si="18"/>
        <v>0</v>
      </c>
      <c r="L80" s="7">
        <f t="shared" si="16"/>
        <v>0</v>
      </c>
      <c r="M80" s="7">
        <f t="shared" si="8"/>
        <v>0</v>
      </c>
    </row>
    <row r="81" spans="1:13" x14ac:dyDescent="0.3">
      <c r="A81" s="4">
        <v>79</v>
      </c>
      <c r="B81" s="5">
        <f>'Questionnaire '!A90</f>
        <v>0</v>
      </c>
      <c r="C81" s="6">
        <v>0</v>
      </c>
      <c r="D81" s="6">
        <v>1</v>
      </c>
      <c r="E81" s="6">
        <v>2</v>
      </c>
      <c r="F81" s="6">
        <v>3</v>
      </c>
      <c r="G81" s="6">
        <v>4</v>
      </c>
      <c r="I81" s="7">
        <f t="shared" si="17"/>
        <v>0</v>
      </c>
      <c r="J81" s="7">
        <f t="shared" si="10"/>
        <v>0</v>
      </c>
      <c r="K81" s="7">
        <f t="shared" si="18"/>
        <v>0</v>
      </c>
      <c r="L81" s="7">
        <f t="shared" si="16"/>
        <v>0</v>
      </c>
      <c r="M81" s="7">
        <f t="shared" si="8"/>
        <v>0</v>
      </c>
    </row>
    <row r="82" spans="1:13" x14ac:dyDescent="0.3">
      <c r="A82" s="4">
        <v>80</v>
      </c>
      <c r="B82" s="5">
        <f>'Questionnaire '!A91</f>
        <v>0</v>
      </c>
      <c r="C82" s="6">
        <v>4</v>
      </c>
      <c r="D82" s="6">
        <v>3</v>
      </c>
      <c r="E82" s="6">
        <v>2</v>
      </c>
      <c r="F82" s="6">
        <v>1</v>
      </c>
      <c r="G82" s="6">
        <v>0</v>
      </c>
      <c r="I82" s="7">
        <f t="shared" si="17"/>
        <v>0</v>
      </c>
      <c r="J82" s="7">
        <f t="shared" si="10"/>
        <v>0</v>
      </c>
      <c r="K82" s="7">
        <f t="shared" si="18"/>
        <v>0</v>
      </c>
      <c r="L82" s="7">
        <f t="shared" si="16"/>
        <v>0</v>
      </c>
      <c r="M82" s="7">
        <f t="shared" ref="M82:M145" si="19">IF(B82=$G$2,G82,0)</f>
        <v>0</v>
      </c>
    </row>
    <row r="83" spans="1:13" x14ac:dyDescent="0.3">
      <c r="A83" s="4">
        <v>81</v>
      </c>
      <c r="B83" s="5">
        <f>'Questionnaire '!A92</f>
        <v>0</v>
      </c>
      <c r="C83" s="6">
        <v>4</v>
      </c>
      <c r="D83" s="6">
        <v>3</v>
      </c>
      <c r="E83" s="6">
        <v>2</v>
      </c>
      <c r="F83" s="6">
        <v>1</v>
      </c>
      <c r="G83" s="6">
        <v>0</v>
      </c>
      <c r="I83" s="7">
        <f t="shared" si="17"/>
        <v>0</v>
      </c>
      <c r="J83" s="7">
        <f t="shared" si="10"/>
        <v>0</v>
      </c>
      <c r="K83" s="7">
        <f t="shared" si="18"/>
        <v>0</v>
      </c>
      <c r="L83" s="7">
        <f t="shared" si="16"/>
        <v>0</v>
      </c>
      <c r="M83" s="7">
        <f t="shared" si="19"/>
        <v>0</v>
      </c>
    </row>
    <row r="84" spans="1:13" x14ac:dyDescent="0.3">
      <c r="A84" s="4">
        <v>82</v>
      </c>
      <c r="B84" s="5">
        <f>'Questionnaire '!A93</f>
        <v>0</v>
      </c>
      <c r="C84" s="6">
        <v>0</v>
      </c>
      <c r="D84" s="6">
        <v>1</v>
      </c>
      <c r="E84" s="6">
        <v>2</v>
      </c>
      <c r="F84" s="6">
        <v>3</v>
      </c>
      <c r="G84" s="6">
        <v>4</v>
      </c>
      <c r="I84" s="7">
        <f>IF(B84=$C$2,C84,0)</f>
        <v>0</v>
      </c>
      <c r="J84" s="7">
        <f t="shared" si="10"/>
        <v>0</v>
      </c>
      <c r="K84" s="7">
        <f t="shared" si="18"/>
        <v>0</v>
      </c>
      <c r="L84" s="7">
        <f t="shared" si="16"/>
        <v>0</v>
      </c>
      <c r="M84" s="7">
        <f t="shared" si="19"/>
        <v>0</v>
      </c>
    </row>
    <row r="85" spans="1:13" x14ac:dyDescent="0.3">
      <c r="A85" s="4">
        <v>83</v>
      </c>
      <c r="B85" s="5">
        <f>'Questionnaire '!A94</f>
        <v>0</v>
      </c>
      <c r="C85" s="6">
        <v>0</v>
      </c>
      <c r="D85" s="6">
        <v>1</v>
      </c>
      <c r="E85" s="6">
        <v>2</v>
      </c>
      <c r="F85" s="6">
        <v>3</v>
      </c>
      <c r="G85" s="6">
        <v>4</v>
      </c>
      <c r="I85" s="7">
        <f t="shared" ref="I85:I91" si="20">IF(B85=$C$2,C85,0)</f>
        <v>0</v>
      </c>
      <c r="J85" s="7">
        <f t="shared" si="10"/>
        <v>0</v>
      </c>
      <c r="K85" s="7">
        <f t="shared" si="18"/>
        <v>0</v>
      </c>
      <c r="L85" s="7">
        <f t="shared" si="16"/>
        <v>0</v>
      </c>
      <c r="M85" s="7">
        <f t="shared" si="19"/>
        <v>0</v>
      </c>
    </row>
    <row r="86" spans="1:13" x14ac:dyDescent="0.3">
      <c r="A86" s="4">
        <v>84</v>
      </c>
      <c r="B86" s="5">
        <f>'Questionnaire '!A95</f>
        <v>0</v>
      </c>
      <c r="C86" s="6">
        <v>4</v>
      </c>
      <c r="D86" s="6">
        <v>3</v>
      </c>
      <c r="E86" s="6">
        <v>2</v>
      </c>
      <c r="F86" s="6">
        <v>1</v>
      </c>
      <c r="G86" s="6">
        <v>0</v>
      </c>
      <c r="I86" s="7">
        <f t="shared" si="20"/>
        <v>0</v>
      </c>
      <c r="J86" s="7">
        <f t="shared" si="10"/>
        <v>0</v>
      </c>
      <c r="K86" s="7">
        <f t="shared" si="18"/>
        <v>0</v>
      </c>
      <c r="L86" s="7">
        <f t="shared" si="16"/>
        <v>0</v>
      </c>
      <c r="M86" s="7">
        <f t="shared" si="19"/>
        <v>0</v>
      </c>
    </row>
    <row r="87" spans="1:13" x14ac:dyDescent="0.3">
      <c r="A87" s="4">
        <v>85</v>
      </c>
      <c r="B87" s="5">
        <f>'Questionnaire '!A96</f>
        <v>0</v>
      </c>
      <c r="C87" s="6">
        <v>0</v>
      </c>
      <c r="D87" s="6">
        <v>1</v>
      </c>
      <c r="E87" s="6">
        <v>2</v>
      </c>
      <c r="F87" s="6">
        <v>3</v>
      </c>
      <c r="G87" s="6">
        <v>4</v>
      </c>
      <c r="I87" s="7">
        <f t="shared" si="20"/>
        <v>0</v>
      </c>
      <c r="J87" s="7">
        <f t="shared" si="10"/>
        <v>0</v>
      </c>
      <c r="K87" s="7">
        <f t="shared" si="18"/>
        <v>0</v>
      </c>
      <c r="L87" s="7">
        <f t="shared" si="16"/>
        <v>0</v>
      </c>
      <c r="M87" s="7">
        <f t="shared" si="19"/>
        <v>0</v>
      </c>
    </row>
    <row r="88" spans="1:13" x14ac:dyDescent="0.3">
      <c r="A88" s="4">
        <v>86</v>
      </c>
      <c r="B88" s="5">
        <f>'Questionnaire '!A97</f>
        <v>0</v>
      </c>
      <c r="C88" s="6">
        <v>0</v>
      </c>
      <c r="D88" s="6">
        <v>1</v>
      </c>
      <c r="E88" s="6">
        <v>2</v>
      </c>
      <c r="F88" s="6">
        <v>3</v>
      </c>
      <c r="G88" s="6">
        <v>4</v>
      </c>
      <c r="I88" s="7">
        <f t="shared" si="20"/>
        <v>0</v>
      </c>
      <c r="J88" s="7">
        <f t="shared" si="10"/>
        <v>0</v>
      </c>
      <c r="K88" s="7">
        <f t="shared" si="18"/>
        <v>0</v>
      </c>
      <c r="L88" s="7">
        <f t="shared" si="16"/>
        <v>0</v>
      </c>
      <c r="M88" s="7">
        <f t="shared" si="19"/>
        <v>0</v>
      </c>
    </row>
    <row r="89" spans="1:13" x14ac:dyDescent="0.3">
      <c r="A89" s="4">
        <v>87</v>
      </c>
      <c r="B89" s="5">
        <f>'Questionnaire '!A98</f>
        <v>0</v>
      </c>
      <c r="C89" s="6">
        <v>4</v>
      </c>
      <c r="D89" s="6">
        <v>3</v>
      </c>
      <c r="E89" s="6">
        <v>2</v>
      </c>
      <c r="F89" s="6">
        <v>1</v>
      </c>
      <c r="G89" s="6">
        <v>0</v>
      </c>
      <c r="I89" s="7">
        <f t="shared" si="20"/>
        <v>0</v>
      </c>
      <c r="J89" s="7">
        <f t="shared" si="10"/>
        <v>0</v>
      </c>
      <c r="K89" s="7">
        <f t="shared" si="18"/>
        <v>0</v>
      </c>
      <c r="L89" s="7">
        <f t="shared" si="16"/>
        <v>0</v>
      </c>
      <c r="M89" s="7">
        <f t="shared" si="19"/>
        <v>0</v>
      </c>
    </row>
    <row r="90" spans="1:13" x14ac:dyDescent="0.3">
      <c r="A90" s="4">
        <v>88</v>
      </c>
      <c r="B90" s="5">
        <f>'Questionnaire '!A99</f>
        <v>0</v>
      </c>
      <c r="C90" s="6">
        <v>4</v>
      </c>
      <c r="D90" s="6">
        <v>3</v>
      </c>
      <c r="E90" s="6">
        <v>2</v>
      </c>
      <c r="F90" s="6">
        <v>1</v>
      </c>
      <c r="G90" s="6">
        <v>0</v>
      </c>
      <c r="I90" s="7">
        <f t="shared" si="20"/>
        <v>0</v>
      </c>
      <c r="J90" s="7">
        <f t="shared" si="10"/>
        <v>0</v>
      </c>
      <c r="K90" s="7">
        <f t="shared" si="18"/>
        <v>0</v>
      </c>
      <c r="L90" s="7">
        <f t="shared" si="16"/>
        <v>0</v>
      </c>
      <c r="M90" s="7">
        <f t="shared" si="19"/>
        <v>0</v>
      </c>
    </row>
    <row r="91" spans="1:13" x14ac:dyDescent="0.3">
      <c r="A91" s="4">
        <v>89</v>
      </c>
      <c r="B91" s="5">
        <f>'Questionnaire '!A100</f>
        <v>0</v>
      </c>
      <c r="C91" s="6">
        <v>0</v>
      </c>
      <c r="D91" s="6">
        <v>1</v>
      </c>
      <c r="E91" s="6">
        <v>2</v>
      </c>
      <c r="F91" s="6">
        <v>3</v>
      </c>
      <c r="G91" s="6">
        <v>4</v>
      </c>
      <c r="I91" s="7">
        <f t="shared" si="20"/>
        <v>0</v>
      </c>
      <c r="J91" s="7">
        <f t="shared" si="10"/>
        <v>0</v>
      </c>
      <c r="K91" s="7">
        <f t="shared" si="18"/>
        <v>0</v>
      </c>
      <c r="L91" s="7">
        <f t="shared" si="16"/>
        <v>0</v>
      </c>
      <c r="M91" s="7">
        <f t="shared" si="19"/>
        <v>0</v>
      </c>
    </row>
    <row r="92" spans="1:13" x14ac:dyDescent="0.3">
      <c r="A92" s="4">
        <v>90</v>
      </c>
      <c r="B92" s="5">
        <f>'Questionnaire '!A101</f>
        <v>0</v>
      </c>
      <c r="C92" s="6">
        <v>4</v>
      </c>
      <c r="D92" s="6">
        <v>3</v>
      </c>
      <c r="E92" s="6">
        <v>2</v>
      </c>
      <c r="F92" s="6">
        <v>1</v>
      </c>
      <c r="G92" s="6">
        <v>0</v>
      </c>
      <c r="I92" s="7">
        <f>IF(B92=$C$2,C92,0)</f>
        <v>0</v>
      </c>
      <c r="J92" s="7">
        <f t="shared" ref="J92:J155" si="21">IF(B92=$D$2,D92,0)</f>
        <v>0</v>
      </c>
      <c r="K92" s="7">
        <f t="shared" si="18"/>
        <v>0</v>
      </c>
      <c r="L92" s="7">
        <f t="shared" si="16"/>
        <v>0</v>
      </c>
      <c r="M92" s="7">
        <f t="shared" si="19"/>
        <v>0</v>
      </c>
    </row>
    <row r="93" spans="1:13" x14ac:dyDescent="0.3">
      <c r="A93" s="4">
        <v>91</v>
      </c>
      <c r="B93" s="5">
        <f>'Questionnaire '!A102</f>
        <v>0</v>
      </c>
      <c r="C93" s="6">
        <v>0</v>
      </c>
      <c r="D93" s="6">
        <v>1</v>
      </c>
      <c r="E93" s="6">
        <v>2</v>
      </c>
      <c r="F93" s="6">
        <v>3</v>
      </c>
      <c r="G93" s="6">
        <v>4</v>
      </c>
      <c r="I93" s="7">
        <f t="shared" ref="I93:I123" si="22">IF(B93=$C$2,C93,0)</f>
        <v>0</v>
      </c>
      <c r="J93" s="7">
        <f t="shared" si="21"/>
        <v>0</v>
      </c>
      <c r="K93" s="7">
        <f t="shared" si="18"/>
        <v>0</v>
      </c>
      <c r="L93" s="7">
        <f t="shared" si="16"/>
        <v>0</v>
      </c>
      <c r="M93" s="7">
        <f t="shared" si="19"/>
        <v>0</v>
      </c>
    </row>
    <row r="94" spans="1:13" x14ac:dyDescent="0.3">
      <c r="A94" s="4">
        <v>92</v>
      </c>
      <c r="B94" s="5">
        <f>'Questionnaire '!A103</f>
        <v>0</v>
      </c>
      <c r="C94" s="6">
        <v>4</v>
      </c>
      <c r="D94" s="6">
        <v>3</v>
      </c>
      <c r="E94" s="6">
        <v>2</v>
      </c>
      <c r="F94" s="6">
        <v>1</v>
      </c>
      <c r="G94" s="6">
        <v>0</v>
      </c>
      <c r="I94" s="7">
        <f t="shared" si="22"/>
        <v>0</v>
      </c>
      <c r="J94" s="7">
        <f t="shared" si="21"/>
        <v>0</v>
      </c>
      <c r="K94" s="7">
        <f t="shared" si="18"/>
        <v>0</v>
      </c>
      <c r="L94" s="7">
        <f t="shared" si="16"/>
        <v>0</v>
      </c>
      <c r="M94" s="7">
        <f t="shared" si="19"/>
        <v>0</v>
      </c>
    </row>
    <row r="95" spans="1:13" x14ac:dyDescent="0.3">
      <c r="A95" s="4">
        <v>93</v>
      </c>
      <c r="B95" s="5">
        <f>'Questionnaire '!A104</f>
        <v>0</v>
      </c>
      <c r="C95" s="6">
        <v>4</v>
      </c>
      <c r="D95" s="6">
        <v>3</v>
      </c>
      <c r="E95" s="6">
        <v>2</v>
      </c>
      <c r="F95" s="6">
        <v>1</v>
      </c>
      <c r="G95" s="6">
        <v>0</v>
      </c>
      <c r="I95" s="7">
        <f t="shared" si="22"/>
        <v>0</v>
      </c>
      <c r="J95" s="7">
        <f t="shared" si="21"/>
        <v>0</v>
      </c>
      <c r="K95" s="7">
        <f t="shared" si="18"/>
        <v>0</v>
      </c>
      <c r="L95" s="7">
        <f t="shared" si="16"/>
        <v>0</v>
      </c>
      <c r="M95" s="7">
        <f t="shared" si="19"/>
        <v>0</v>
      </c>
    </row>
    <row r="96" spans="1:13" x14ac:dyDescent="0.3">
      <c r="A96" s="4">
        <v>94</v>
      </c>
      <c r="B96" s="5">
        <f>'Questionnaire '!A105</f>
        <v>0</v>
      </c>
      <c r="C96" s="6">
        <v>0</v>
      </c>
      <c r="D96" s="6">
        <v>1</v>
      </c>
      <c r="E96" s="6">
        <v>2</v>
      </c>
      <c r="F96" s="6">
        <v>3</v>
      </c>
      <c r="G96" s="6">
        <v>4</v>
      </c>
      <c r="I96" s="7">
        <f t="shared" si="22"/>
        <v>0</v>
      </c>
      <c r="J96" s="7">
        <f t="shared" si="21"/>
        <v>0</v>
      </c>
      <c r="K96" s="7">
        <f t="shared" si="18"/>
        <v>0</v>
      </c>
      <c r="L96" s="7">
        <f t="shared" si="16"/>
        <v>0</v>
      </c>
      <c r="M96" s="7">
        <f t="shared" si="19"/>
        <v>0</v>
      </c>
    </row>
    <row r="97" spans="1:13" x14ac:dyDescent="0.3">
      <c r="A97" s="4">
        <v>95</v>
      </c>
      <c r="B97" s="5">
        <f>'Questionnaire '!A106</f>
        <v>0</v>
      </c>
      <c r="C97" s="6">
        <v>4</v>
      </c>
      <c r="D97" s="6">
        <v>3</v>
      </c>
      <c r="E97" s="6">
        <v>2</v>
      </c>
      <c r="F97" s="6">
        <v>1</v>
      </c>
      <c r="G97" s="6">
        <v>0</v>
      </c>
      <c r="I97" s="7">
        <f t="shared" si="22"/>
        <v>0</v>
      </c>
      <c r="J97" s="7">
        <f t="shared" si="21"/>
        <v>0</v>
      </c>
      <c r="K97" s="7">
        <f t="shared" si="18"/>
        <v>0</v>
      </c>
      <c r="L97" s="7">
        <f t="shared" si="16"/>
        <v>0</v>
      </c>
      <c r="M97" s="7">
        <f t="shared" si="19"/>
        <v>0</v>
      </c>
    </row>
    <row r="98" spans="1:13" x14ac:dyDescent="0.3">
      <c r="A98" s="4">
        <v>96</v>
      </c>
      <c r="B98" s="5">
        <f>'Questionnaire '!A107</f>
        <v>0</v>
      </c>
      <c r="C98" s="6">
        <v>4</v>
      </c>
      <c r="D98" s="6">
        <v>3</v>
      </c>
      <c r="E98" s="6">
        <v>2</v>
      </c>
      <c r="F98" s="6">
        <v>1</v>
      </c>
      <c r="G98" s="6">
        <v>0</v>
      </c>
      <c r="I98" s="7">
        <f t="shared" si="22"/>
        <v>0</v>
      </c>
      <c r="J98" s="7">
        <f t="shared" si="21"/>
        <v>0</v>
      </c>
      <c r="K98" s="7">
        <f t="shared" si="18"/>
        <v>0</v>
      </c>
      <c r="L98" s="7">
        <f t="shared" si="16"/>
        <v>0</v>
      </c>
      <c r="M98" s="7">
        <f t="shared" si="19"/>
        <v>0</v>
      </c>
    </row>
    <row r="99" spans="1:13" x14ac:dyDescent="0.3">
      <c r="A99" s="4">
        <v>97</v>
      </c>
      <c r="B99" s="5">
        <f>'Questionnaire '!A108</f>
        <v>0</v>
      </c>
      <c r="C99" s="6">
        <v>0</v>
      </c>
      <c r="D99" s="6">
        <v>1</v>
      </c>
      <c r="E99" s="6">
        <v>2</v>
      </c>
      <c r="F99" s="6">
        <v>3</v>
      </c>
      <c r="G99" s="6">
        <v>4</v>
      </c>
      <c r="I99" s="7">
        <f t="shared" si="22"/>
        <v>0</v>
      </c>
      <c r="J99" s="7">
        <f t="shared" si="21"/>
        <v>0</v>
      </c>
      <c r="K99" s="7">
        <f t="shared" si="18"/>
        <v>0</v>
      </c>
      <c r="L99" s="7">
        <f t="shared" si="16"/>
        <v>0</v>
      </c>
      <c r="M99" s="7">
        <f t="shared" si="19"/>
        <v>0</v>
      </c>
    </row>
    <row r="100" spans="1:13" x14ac:dyDescent="0.3">
      <c r="A100" s="4">
        <v>98</v>
      </c>
      <c r="B100" s="5">
        <f>'Questionnaire '!A109</f>
        <v>0</v>
      </c>
      <c r="C100" s="6">
        <v>0</v>
      </c>
      <c r="D100" s="6">
        <v>1</v>
      </c>
      <c r="E100" s="6">
        <v>2</v>
      </c>
      <c r="F100" s="6">
        <v>3</v>
      </c>
      <c r="G100" s="6">
        <v>4</v>
      </c>
      <c r="I100" s="7">
        <f t="shared" si="22"/>
        <v>0</v>
      </c>
      <c r="J100" s="7">
        <f t="shared" si="21"/>
        <v>0</v>
      </c>
      <c r="K100" s="7">
        <f t="shared" si="18"/>
        <v>0</v>
      </c>
      <c r="L100" s="7">
        <f t="shared" si="16"/>
        <v>0</v>
      </c>
      <c r="M100" s="7">
        <f t="shared" si="19"/>
        <v>0</v>
      </c>
    </row>
    <row r="101" spans="1:13" x14ac:dyDescent="0.3">
      <c r="A101" s="4">
        <v>99</v>
      </c>
      <c r="B101" s="5">
        <f>'Questionnaire '!A110</f>
        <v>0</v>
      </c>
      <c r="C101" s="6">
        <v>4</v>
      </c>
      <c r="D101" s="6">
        <v>3</v>
      </c>
      <c r="E101" s="6">
        <v>2</v>
      </c>
      <c r="F101" s="6">
        <v>1</v>
      </c>
      <c r="G101" s="6">
        <v>0</v>
      </c>
      <c r="I101" s="7">
        <f t="shared" si="22"/>
        <v>0</v>
      </c>
      <c r="J101" s="7">
        <f t="shared" si="21"/>
        <v>0</v>
      </c>
      <c r="K101" s="7">
        <f t="shared" si="18"/>
        <v>0</v>
      </c>
      <c r="L101" s="7">
        <f t="shared" si="16"/>
        <v>0</v>
      </c>
      <c r="M101" s="7">
        <f t="shared" si="19"/>
        <v>0</v>
      </c>
    </row>
    <row r="102" spans="1:13" x14ac:dyDescent="0.3">
      <c r="A102" s="4">
        <v>100</v>
      </c>
      <c r="B102" s="5">
        <f>'Questionnaire '!A111</f>
        <v>0</v>
      </c>
      <c r="C102" s="6">
        <v>0</v>
      </c>
      <c r="D102" s="6">
        <v>1</v>
      </c>
      <c r="E102" s="6">
        <v>2</v>
      </c>
      <c r="F102" s="6">
        <v>3</v>
      </c>
      <c r="G102" s="6">
        <v>4</v>
      </c>
      <c r="I102" s="7">
        <f t="shared" si="22"/>
        <v>0</v>
      </c>
      <c r="J102" s="7">
        <f t="shared" si="21"/>
        <v>0</v>
      </c>
      <c r="K102" s="7">
        <f t="shared" si="18"/>
        <v>0</v>
      </c>
      <c r="L102" s="7">
        <f t="shared" si="16"/>
        <v>0</v>
      </c>
      <c r="M102" s="7">
        <f t="shared" si="19"/>
        <v>0</v>
      </c>
    </row>
    <row r="103" spans="1:13" x14ac:dyDescent="0.3">
      <c r="A103" s="4">
        <v>101</v>
      </c>
      <c r="B103" s="5">
        <f>'Questionnaire '!A112</f>
        <v>0</v>
      </c>
      <c r="C103" s="6">
        <v>0</v>
      </c>
      <c r="D103" s="6">
        <v>1</v>
      </c>
      <c r="E103" s="6">
        <v>2</v>
      </c>
      <c r="F103" s="6">
        <v>3</v>
      </c>
      <c r="G103" s="6">
        <v>4</v>
      </c>
      <c r="I103" s="7">
        <f t="shared" si="22"/>
        <v>0</v>
      </c>
      <c r="J103" s="7">
        <f t="shared" si="21"/>
        <v>0</v>
      </c>
      <c r="K103" s="7">
        <f t="shared" si="18"/>
        <v>0</v>
      </c>
      <c r="L103" s="7">
        <f t="shared" si="16"/>
        <v>0</v>
      </c>
      <c r="M103" s="7">
        <f t="shared" si="19"/>
        <v>0</v>
      </c>
    </row>
    <row r="104" spans="1:13" x14ac:dyDescent="0.3">
      <c r="A104" s="4">
        <v>102</v>
      </c>
      <c r="B104" s="5">
        <f>'Questionnaire '!A113</f>
        <v>0</v>
      </c>
      <c r="C104" s="6">
        <v>4</v>
      </c>
      <c r="D104" s="6">
        <v>3</v>
      </c>
      <c r="E104" s="6">
        <v>2</v>
      </c>
      <c r="F104" s="6">
        <v>1</v>
      </c>
      <c r="G104" s="6">
        <v>0</v>
      </c>
      <c r="I104" s="7">
        <f t="shared" si="22"/>
        <v>0</v>
      </c>
      <c r="J104" s="7">
        <f t="shared" si="21"/>
        <v>0</v>
      </c>
      <c r="K104" s="7">
        <f t="shared" si="18"/>
        <v>0</v>
      </c>
      <c r="L104" s="7">
        <f t="shared" si="16"/>
        <v>0</v>
      </c>
      <c r="M104" s="7">
        <f t="shared" si="19"/>
        <v>0</v>
      </c>
    </row>
    <row r="105" spans="1:13" x14ac:dyDescent="0.3">
      <c r="A105" s="4">
        <v>103</v>
      </c>
      <c r="B105" s="5">
        <f>'Questionnaire '!A114</f>
        <v>0</v>
      </c>
      <c r="C105" s="6">
        <v>4</v>
      </c>
      <c r="D105" s="6">
        <v>3</v>
      </c>
      <c r="E105" s="6">
        <v>2</v>
      </c>
      <c r="F105" s="6">
        <v>1</v>
      </c>
      <c r="G105" s="6">
        <v>0</v>
      </c>
      <c r="I105" s="7">
        <f t="shared" si="22"/>
        <v>0</v>
      </c>
      <c r="J105" s="7">
        <f t="shared" si="21"/>
        <v>0</v>
      </c>
      <c r="K105" s="7">
        <f t="shared" si="18"/>
        <v>0</v>
      </c>
      <c r="L105" s="7">
        <f t="shared" si="16"/>
        <v>0</v>
      </c>
      <c r="M105" s="7">
        <f t="shared" si="19"/>
        <v>0</v>
      </c>
    </row>
    <row r="106" spans="1:13" x14ac:dyDescent="0.3">
      <c r="A106" s="4">
        <v>104</v>
      </c>
      <c r="B106" s="5">
        <f>'Questionnaire '!A116</f>
        <v>0</v>
      </c>
      <c r="C106" s="6">
        <v>0</v>
      </c>
      <c r="D106" s="6">
        <v>1</v>
      </c>
      <c r="E106" s="6">
        <v>2</v>
      </c>
      <c r="F106" s="6">
        <v>3</v>
      </c>
      <c r="G106" s="6">
        <v>4</v>
      </c>
      <c r="I106" s="7">
        <f t="shared" si="22"/>
        <v>0</v>
      </c>
      <c r="J106" s="7">
        <f t="shared" si="21"/>
        <v>0</v>
      </c>
      <c r="K106" s="7">
        <f t="shared" si="18"/>
        <v>0</v>
      </c>
      <c r="L106" s="7">
        <f t="shared" si="16"/>
        <v>0</v>
      </c>
      <c r="M106" s="7">
        <f t="shared" si="19"/>
        <v>0</v>
      </c>
    </row>
    <row r="107" spans="1:13" x14ac:dyDescent="0.3">
      <c r="A107" s="4">
        <v>105</v>
      </c>
      <c r="B107" s="5">
        <f>'Questionnaire '!A116</f>
        <v>0</v>
      </c>
      <c r="C107" s="6">
        <v>4</v>
      </c>
      <c r="D107" s="6">
        <v>3</v>
      </c>
      <c r="E107" s="6">
        <v>2</v>
      </c>
      <c r="F107" s="6">
        <v>1</v>
      </c>
      <c r="G107" s="6">
        <v>0</v>
      </c>
      <c r="I107" s="7">
        <f t="shared" si="22"/>
        <v>0</v>
      </c>
      <c r="J107" s="7">
        <f t="shared" si="21"/>
        <v>0</v>
      </c>
      <c r="K107" s="7">
        <f t="shared" si="18"/>
        <v>0</v>
      </c>
      <c r="L107" s="7">
        <f t="shared" si="16"/>
        <v>0</v>
      </c>
      <c r="M107" s="7">
        <f t="shared" si="19"/>
        <v>0</v>
      </c>
    </row>
    <row r="108" spans="1:13" x14ac:dyDescent="0.3">
      <c r="A108" s="4">
        <v>106</v>
      </c>
      <c r="B108" s="5">
        <f>'Questionnaire '!A117</f>
        <v>0</v>
      </c>
      <c r="C108" s="6">
        <v>4</v>
      </c>
      <c r="D108" s="6">
        <v>3</v>
      </c>
      <c r="E108" s="6">
        <v>2</v>
      </c>
      <c r="F108" s="6">
        <v>1</v>
      </c>
      <c r="G108" s="6">
        <v>0</v>
      </c>
      <c r="I108" s="7">
        <f t="shared" si="22"/>
        <v>0</v>
      </c>
      <c r="J108" s="7">
        <f t="shared" si="21"/>
        <v>0</v>
      </c>
      <c r="K108" s="7">
        <f t="shared" si="18"/>
        <v>0</v>
      </c>
      <c r="L108" s="7">
        <f t="shared" si="16"/>
        <v>0</v>
      </c>
      <c r="M108" s="7">
        <f t="shared" si="19"/>
        <v>0</v>
      </c>
    </row>
    <row r="109" spans="1:13" x14ac:dyDescent="0.3">
      <c r="A109" s="4">
        <v>107</v>
      </c>
      <c r="B109" s="5">
        <f>'Questionnaire '!A118</f>
        <v>0</v>
      </c>
      <c r="C109" s="6">
        <v>0</v>
      </c>
      <c r="D109" s="6">
        <v>1</v>
      </c>
      <c r="E109" s="6">
        <v>2</v>
      </c>
      <c r="F109" s="6">
        <v>3</v>
      </c>
      <c r="G109" s="6">
        <v>4</v>
      </c>
      <c r="I109" s="7">
        <f t="shared" si="22"/>
        <v>0</v>
      </c>
      <c r="J109" s="7">
        <f t="shared" si="21"/>
        <v>0</v>
      </c>
      <c r="K109" s="7">
        <f t="shared" si="18"/>
        <v>0</v>
      </c>
      <c r="L109" s="7">
        <f t="shared" si="16"/>
        <v>0</v>
      </c>
      <c r="M109" s="7">
        <f t="shared" si="19"/>
        <v>0</v>
      </c>
    </row>
    <row r="110" spans="1:13" x14ac:dyDescent="0.3">
      <c r="A110" s="4">
        <v>108</v>
      </c>
      <c r="B110" s="5">
        <f>'Questionnaire '!A119</f>
        <v>0</v>
      </c>
      <c r="C110" s="6">
        <v>0</v>
      </c>
      <c r="D110" s="6">
        <v>1</v>
      </c>
      <c r="E110" s="6">
        <v>2</v>
      </c>
      <c r="F110" s="6">
        <v>3</v>
      </c>
      <c r="G110" s="6">
        <v>4</v>
      </c>
      <c r="I110" s="7">
        <f t="shared" si="22"/>
        <v>0</v>
      </c>
      <c r="J110" s="7">
        <f t="shared" si="21"/>
        <v>0</v>
      </c>
      <c r="K110" s="7">
        <f t="shared" si="18"/>
        <v>0</v>
      </c>
      <c r="L110" s="7">
        <f t="shared" si="16"/>
        <v>0</v>
      </c>
      <c r="M110" s="7">
        <f t="shared" si="19"/>
        <v>0</v>
      </c>
    </row>
    <row r="111" spans="1:13" x14ac:dyDescent="0.3">
      <c r="A111" s="4">
        <v>109</v>
      </c>
      <c r="B111" s="5">
        <f>'Questionnaire '!A120</f>
        <v>0</v>
      </c>
      <c r="C111" s="6">
        <v>4</v>
      </c>
      <c r="D111" s="6">
        <v>3</v>
      </c>
      <c r="E111" s="6">
        <v>2</v>
      </c>
      <c r="F111" s="6">
        <v>1</v>
      </c>
      <c r="G111" s="6">
        <v>0</v>
      </c>
      <c r="I111" s="7">
        <f t="shared" si="22"/>
        <v>0</v>
      </c>
      <c r="J111" s="7">
        <f t="shared" si="21"/>
        <v>0</v>
      </c>
      <c r="K111" s="7">
        <f t="shared" si="18"/>
        <v>0</v>
      </c>
      <c r="L111" s="7">
        <f t="shared" si="16"/>
        <v>0</v>
      </c>
      <c r="M111" s="7">
        <f t="shared" si="19"/>
        <v>0</v>
      </c>
    </row>
    <row r="112" spans="1:13" x14ac:dyDescent="0.3">
      <c r="A112" s="4">
        <v>110</v>
      </c>
      <c r="B112" s="5">
        <f>'Questionnaire '!A121</f>
        <v>0</v>
      </c>
      <c r="C112" s="6">
        <v>0</v>
      </c>
      <c r="D112" s="6">
        <v>1</v>
      </c>
      <c r="E112" s="6">
        <v>2</v>
      </c>
      <c r="F112" s="6">
        <v>3</v>
      </c>
      <c r="G112" s="6">
        <v>4</v>
      </c>
      <c r="I112" s="7">
        <f t="shared" si="22"/>
        <v>0</v>
      </c>
      <c r="J112" s="7">
        <f t="shared" si="21"/>
        <v>0</v>
      </c>
      <c r="K112" s="7">
        <f t="shared" si="18"/>
        <v>0</v>
      </c>
      <c r="L112" s="7">
        <f t="shared" si="16"/>
        <v>0</v>
      </c>
      <c r="M112" s="7">
        <f t="shared" si="19"/>
        <v>0</v>
      </c>
    </row>
    <row r="113" spans="1:13" x14ac:dyDescent="0.3">
      <c r="A113" s="4">
        <v>111</v>
      </c>
      <c r="B113" s="5">
        <f>'Questionnaire '!A122</f>
        <v>0</v>
      </c>
      <c r="C113" s="6">
        <v>0</v>
      </c>
      <c r="D113" s="6">
        <v>1</v>
      </c>
      <c r="E113" s="6">
        <v>2</v>
      </c>
      <c r="F113" s="6">
        <v>3</v>
      </c>
      <c r="G113" s="6">
        <v>4</v>
      </c>
      <c r="I113" s="7">
        <f t="shared" si="22"/>
        <v>0</v>
      </c>
      <c r="J113" s="7">
        <f t="shared" si="21"/>
        <v>0</v>
      </c>
      <c r="K113" s="7">
        <f t="shared" si="18"/>
        <v>0</v>
      </c>
      <c r="L113" s="7">
        <f t="shared" si="16"/>
        <v>0</v>
      </c>
      <c r="M113" s="7">
        <f t="shared" si="19"/>
        <v>0</v>
      </c>
    </row>
    <row r="114" spans="1:13" x14ac:dyDescent="0.3">
      <c r="A114" s="4">
        <v>112</v>
      </c>
      <c r="B114" s="5">
        <f>'Questionnaire '!A123</f>
        <v>0</v>
      </c>
      <c r="C114" s="6">
        <v>4</v>
      </c>
      <c r="D114" s="6">
        <v>3</v>
      </c>
      <c r="E114" s="6">
        <v>2</v>
      </c>
      <c r="F114" s="6">
        <v>1</v>
      </c>
      <c r="G114" s="6">
        <v>0</v>
      </c>
      <c r="I114" s="7">
        <f t="shared" si="22"/>
        <v>0</v>
      </c>
      <c r="J114" s="7">
        <f t="shared" si="21"/>
        <v>0</v>
      </c>
      <c r="K114" s="7">
        <f t="shared" si="18"/>
        <v>0</v>
      </c>
      <c r="L114" s="7">
        <f t="shared" si="16"/>
        <v>0</v>
      </c>
      <c r="M114" s="7">
        <f t="shared" si="19"/>
        <v>0</v>
      </c>
    </row>
    <row r="115" spans="1:13" x14ac:dyDescent="0.3">
      <c r="A115" s="4">
        <v>113</v>
      </c>
      <c r="B115" s="5">
        <f>'Questionnaire '!A124</f>
        <v>0</v>
      </c>
      <c r="C115" s="6">
        <v>4</v>
      </c>
      <c r="D115" s="6">
        <v>3</v>
      </c>
      <c r="E115" s="6">
        <v>2</v>
      </c>
      <c r="F115" s="6">
        <v>1</v>
      </c>
      <c r="G115" s="6">
        <v>0</v>
      </c>
      <c r="I115" s="7">
        <f t="shared" si="22"/>
        <v>0</v>
      </c>
      <c r="J115" s="7">
        <f t="shared" si="21"/>
        <v>0</v>
      </c>
      <c r="K115" s="7">
        <f t="shared" si="18"/>
        <v>0</v>
      </c>
      <c r="L115" s="7">
        <f t="shared" si="16"/>
        <v>0</v>
      </c>
      <c r="M115" s="7">
        <f t="shared" si="19"/>
        <v>0</v>
      </c>
    </row>
    <row r="116" spans="1:13" x14ac:dyDescent="0.3">
      <c r="A116" s="4">
        <v>114</v>
      </c>
      <c r="B116" s="5">
        <f>'Questionnaire '!A125</f>
        <v>0</v>
      </c>
      <c r="C116" s="6">
        <v>0</v>
      </c>
      <c r="D116" s="6">
        <v>1</v>
      </c>
      <c r="E116" s="6">
        <v>2</v>
      </c>
      <c r="F116" s="6">
        <v>3</v>
      </c>
      <c r="G116" s="6">
        <v>4</v>
      </c>
      <c r="I116" s="7">
        <f t="shared" si="22"/>
        <v>0</v>
      </c>
      <c r="J116" s="7">
        <f t="shared" si="21"/>
        <v>0</v>
      </c>
      <c r="K116" s="7">
        <f t="shared" si="18"/>
        <v>0</v>
      </c>
      <c r="L116" s="7">
        <f t="shared" si="16"/>
        <v>0</v>
      </c>
      <c r="M116" s="7">
        <f t="shared" si="19"/>
        <v>0</v>
      </c>
    </row>
    <row r="117" spans="1:13" x14ac:dyDescent="0.3">
      <c r="A117" s="4">
        <v>115</v>
      </c>
      <c r="B117" s="5">
        <f>'Questionnaire '!A126</f>
        <v>0</v>
      </c>
      <c r="C117" s="6">
        <v>4</v>
      </c>
      <c r="D117" s="6">
        <v>3</v>
      </c>
      <c r="E117" s="6">
        <v>2</v>
      </c>
      <c r="F117" s="6">
        <v>1</v>
      </c>
      <c r="G117" s="6">
        <v>0</v>
      </c>
      <c r="I117" s="7">
        <f t="shared" si="22"/>
        <v>0</v>
      </c>
      <c r="J117" s="7">
        <f t="shared" si="21"/>
        <v>0</v>
      </c>
      <c r="K117" s="7">
        <f t="shared" si="18"/>
        <v>0</v>
      </c>
      <c r="L117" s="7">
        <f t="shared" si="16"/>
        <v>0</v>
      </c>
      <c r="M117" s="7">
        <f t="shared" si="19"/>
        <v>0</v>
      </c>
    </row>
    <row r="118" spans="1:13" x14ac:dyDescent="0.3">
      <c r="A118" s="4">
        <v>116</v>
      </c>
      <c r="B118" s="5">
        <f>'Questionnaire '!A127</f>
        <v>0</v>
      </c>
      <c r="C118" s="6">
        <v>4</v>
      </c>
      <c r="D118" s="6">
        <v>3</v>
      </c>
      <c r="E118" s="6">
        <v>2</v>
      </c>
      <c r="F118" s="6">
        <v>1</v>
      </c>
      <c r="G118" s="6">
        <v>0</v>
      </c>
      <c r="I118" s="7">
        <f t="shared" si="22"/>
        <v>0</v>
      </c>
      <c r="J118" s="7">
        <f t="shared" si="21"/>
        <v>0</v>
      </c>
      <c r="K118" s="7">
        <f t="shared" si="18"/>
        <v>0</v>
      </c>
      <c r="L118" s="7">
        <f t="shared" si="16"/>
        <v>0</v>
      </c>
      <c r="M118" s="7">
        <f t="shared" si="19"/>
        <v>0</v>
      </c>
    </row>
    <row r="119" spans="1:13" x14ac:dyDescent="0.3">
      <c r="A119" s="4">
        <v>117</v>
      </c>
      <c r="B119" s="5">
        <f>'Questionnaire '!A128</f>
        <v>0</v>
      </c>
      <c r="C119" s="6">
        <v>0</v>
      </c>
      <c r="D119" s="6">
        <v>1</v>
      </c>
      <c r="E119" s="6">
        <v>2</v>
      </c>
      <c r="F119" s="6">
        <v>3</v>
      </c>
      <c r="G119" s="6">
        <v>4</v>
      </c>
      <c r="I119" s="7">
        <f t="shared" si="22"/>
        <v>0</v>
      </c>
      <c r="J119" s="7">
        <f t="shared" si="21"/>
        <v>0</v>
      </c>
      <c r="K119" s="7">
        <f t="shared" si="18"/>
        <v>0</v>
      </c>
      <c r="L119" s="7">
        <f t="shared" si="16"/>
        <v>0</v>
      </c>
      <c r="M119" s="7">
        <f t="shared" si="19"/>
        <v>0</v>
      </c>
    </row>
    <row r="120" spans="1:13" x14ac:dyDescent="0.3">
      <c r="A120" s="4">
        <v>118</v>
      </c>
      <c r="B120" s="5">
        <f>'Questionnaire '!A129</f>
        <v>0</v>
      </c>
      <c r="C120" s="6">
        <v>0</v>
      </c>
      <c r="D120" s="6">
        <v>1</v>
      </c>
      <c r="E120" s="6">
        <v>2</v>
      </c>
      <c r="F120" s="6">
        <v>3</v>
      </c>
      <c r="G120" s="6">
        <v>4</v>
      </c>
      <c r="I120" s="7">
        <f t="shared" si="22"/>
        <v>0</v>
      </c>
      <c r="J120" s="7">
        <f t="shared" si="21"/>
        <v>0</v>
      </c>
      <c r="K120" s="7">
        <f t="shared" si="18"/>
        <v>0</v>
      </c>
      <c r="L120" s="7">
        <f t="shared" si="16"/>
        <v>0</v>
      </c>
      <c r="M120" s="7">
        <f t="shared" si="19"/>
        <v>0</v>
      </c>
    </row>
    <row r="121" spans="1:13" x14ac:dyDescent="0.3">
      <c r="A121" s="4">
        <v>119</v>
      </c>
      <c r="B121" s="5">
        <f>'Questionnaire '!A130</f>
        <v>0</v>
      </c>
      <c r="C121" s="6">
        <v>4</v>
      </c>
      <c r="D121" s="6">
        <v>3</v>
      </c>
      <c r="E121" s="6">
        <v>2</v>
      </c>
      <c r="F121" s="6">
        <v>1</v>
      </c>
      <c r="G121" s="6">
        <v>0</v>
      </c>
      <c r="I121" s="7">
        <f t="shared" si="22"/>
        <v>0</v>
      </c>
      <c r="J121" s="7">
        <f t="shared" si="21"/>
        <v>0</v>
      </c>
      <c r="K121" s="7">
        <f t="shared" si="18"/>
        <v>0</v>
      </c>
      <c r="L121" s="7">
        <f t="shared" si="16"/>
        <v>0</v>
      </c>
      <c r="M121" s="7">
        <f t="shared" si="19"/>
        <v>0</v>
      </c>
    </row>
    <row r="122" spans="1:13" x14ac:dyDescent="0.3">
      <c r="A122" s="4">
        <v>120</v>
      </c>
      <c r="B122" s="5">
        <f>'Questionnaire '!A131</f>
        <v>0</v>
      </c>
      <c r="C122" s="6">
        <v>0</v>
      </c>
      <c r="D122" s="6">
        <v>1</v>
      </c>
      <c r="E122" s="6">
        <v>2</v>
      </c>
      <c r="F122" s="6">
        <v>3</v>
      </c>
      <c r="G122" s="6">
        <v>4</v>
      </c>
      <c r="I122" s="7">
        <f t="shared" si="22"/>
        <v>0</v>
      </c>
      <c r="J122" s="7">
        <f t="shared" si="21"/>
        <v>0</v>
      </c>
      <c r="K122" s="7">
        <f t="shared" si="18"/>
        <v>0</v>
      </c>
      <c r="L122" s="7">
        <f t="shared" si="16"/>
        <v>0</v>
      </c>
      <c r="M122" s="7">
        <f t="shared" si="19"/>
        <v>0</v>
      </c>
    </row>
    <row r="123" spans="1:13" x14ac:dyDescent="0.3">
      <c r="A123" s="4">
        <v>121</v>
      </c>
      <c r="B123" s="5">
        <f>'Questionnaire '!A132</f>
        <v>0</v>
      </c>
      <c r="C123" s="6">
        <v>4</v>
      </c>
      <c r="D123" s="6">
        <v>3</v>
      </c>
      <c r="E123" s="6">
        <v>2</v>
      </c>
      <c r="F123" s="6">
        <v>1</v>
      </c>
      <c r="G123" s="6">
        <v>0</v>
      </c>
      <c r="I123" s="7">
        <f t="shared" si="22"/>
        <v>0</v>
      </c>
      <c r="J123" s="7">
        <f t="shared" si="21"/>
        <v>0</v>
      </c>
      <c r="K123" s="7">
        <f t="shared" si="18"/>
        <v>0</v>
      </c>
      <c r="L123" s="7">
        <f t="shared" si="16"/>
        <v>0</v>
      </c>
      <c r="M123" s="7">
        <f t="shared" si="19"/>
        <v>0</v>
      </c>
    </row>
    <row r="124" spans="1:13" x14ac:dyDescent="0.3">
      <c r="A124" s="4">
        <v>122</v>
      </c>
      <c r="B124" s="5">
        <f>'Questionnaire '!A133</f>
        <v>0</v>
      </c>
      <c r="C124" s="6">
        <v>0</v>
      </c>
      <c r="D124" s="6">
        <v>1</v>
      </c>
      <c r="E124" s="6">
        <v>2</v>
      </c>
      <c r="F124" s="6">
        <v>3</v>
      </c>
      <c r="G124" s="6">
        <v>4</v>
      </c>
      <c r="I124" s="7">
        <f>IF(B124=$C$2,C124,0)</f>
        <v>0</v>
      </c>
      <c r="J124" s="7">
        <f t="shared" si="21"/>
        <v>0</v>
      </c>
      <c r="K124" s="7">
        <f t="shared" si="18"/>
        <v>0</v>
      </c>
      <c r="L124" s="7">
        <f t="shared" si="16"/>
        <v>0</v>
      </c>
      <c r="M124" s="7">
        <f t="shared" si="19"/>
        <v>0</v>
      </c>
    </row>
    <row r="125" spans="1:13" x14ac:dyDescent="0.3">
      <c r="A125" s="4">
        <v>123</v>
      </c>
      <c r="B125" s="5">
        <f>'Questionnaire '!A134</f>
        <v>0</v>
      </c>
      <c r="C125" s="6">
        <v>0</v>
      </c>
      <c r="D125" s="6">
        <v>1</v>
      </c>
      <c r="E125" s="6">
        <v>2</v>
      </c>
      <c r="F125" s="6">
        <v>3</v>
      </c>
      <c r="G125" s="6">
        <v>4</v>
      </c>
      <c r="I125" s="7">
        <f t="shared" ref="I125:I139" si="23">IF(B125=$C$2,C125,0)</f>
        <v>0</v>
      </c>
      <c r="J125" s="7">
        <f t="shared" si="21"/>
        <v>0</v>
      </c>
      <c r="K125" s="7">
        <f t="shared" si="18"/>
        <v>0</v>
      </c>
      <c r="L125" s="7">
        <f t="shared" si="16"/>
        <v>0</v>
      </c>
      <c r="M125" s="7">
        <f t="shared" si="19"/>
        <v>0</v>
      </c>
    </row>
    <row r="126" spans="1:13" x14ac:dyDescent="0.3">
      <c r="A126" s="4">
        <v>124</v>
      </c>
      <c r="B126" s="5">
        <f>'Questionnaire '!A135</f>
        <v>0</v>
      </c>
      <c r="C126" s="6">
        <v>4</v>
      </c>
      <c r="D126" s="6">
        <v>3</v>
      </c>
      <c r="E126" s="6">
        <v>2</v>
      </c>
      <c r="F126" s="6">
        <v>1</v>
      </c>
      <c r="G126" s="6">
        <v>0</v>
      </c>
      <c r="I126" s="7">
        <f t="shared" si="23"/>
        <v>0</v>
      </c>
      <c r="J126" s="7">
        <f t="shared" si="21"/>
        <v>0</v>
      </c>
      <c r="K126" s="7">
        <f t="shared" si="18"/>
        <v>0</v>
      </c>
      <c r="L126" s="7">
        <f t="shared" si="16"/>
        <v>0</v>
      </c>
      <c r="M126" s="7">
        <f t="shared" si="19"/>
        <v>0</v>
      </c>
    </row>
    <row r="127" spans="1:13" x14ac:dyDescent="0.3">
      <c r="A127" s="4">
        <v>125</v>
      </c>
      <c r="B127" s="5">
        <f>'Questionnaire '!A136</f>
        <v>0</v>
      </c>
      <c r="C127" s="6">
        <v>0</v>
      </c>
      <c r="D127" s="6">
        <v>1</v>
      </c>
      <c r="E127" s="6">
        <v>2</v>
      </c>
      <c r="F127" s="6">
        <v>3</v>
      </c>
      <c r="G127" s="6">
        <v>4</v>
      </c>
      <c r="I127" s="7">
        <f t="shared" si="23"/>
        <v>0</v>
      </c>
      <c r="J127" s="7">
        <f t="shared" si="21"/>
        <v>0</v>
      </c>
      <c r="K127" s="7">
        <f t="shared" si="18"/>
        <v>0</v>
      </c>
      <c r="L127" s="7">
        <f t="shared" si="16"/>
        <v>0</v>
      </c>
      <c r="M127" s="7">
        <f t="shared" si="19"/>
        <v>0</v>
      </c>
    </row>
    <row r="128" spans="1:13" x14ac:dyDescent="0.3">
      <c r="A128" s="4">
        <v>126</v>
      </c>
      <c r="B128" s="5">
        <f>'Questionnaire '!A137</f>
        <v>0</v>
      </c>
      <c r="C128" s="6">
        <v>0</v>
      </c>
      <c r="D128" s="6">
        <v>1</v>
      </c>
      <c r="E128" s="6">
        <v>2</v>
      </c>
      <c r="F128" s="6">
        <v>3</v>
      </c>
      <c r="G128" s="6">
        <v>4</v>
      </c>
      <c r="I128" s="7">
        <f t="shared" si="23"/>
        <v>0</v>
      </c>
      <c r="J128" s="7">
        <f t="shared" si="21"/>
        <v>0</v>
      </c>
      <c r="K128" s="7">
        <f t="shared" si="18"/>
        <v>0</v>
      </c>
      <c r="L128" s="7">
        <f t="shared" si="16"/>
        <v>0</v>
      </c>
      <c r="M128" s="7">
        <f t="shared" si="19"/>
        <v>0</v>
      </c>
    </row>
    <row r="129" spans="1:13" x14ac:dyDescent="0.3">
      <c r="A129" s="4">
        <v>127</v>
      </c>
      <c r="B129" s="5">
        <f>'Questionnaire '!A138</f>
        <v>0</v>
      </c>
      <c r="C129" s="6">
        <v>4</v>
      </c>
      <c r="D129" s="6">
        <v>3</v>
      </c>
      <c r="E129" s="6">
        <v>2</v>
      </c>
      <c r="F129" s="6">
        <v>1</v>
      </c>
      <c r="G129" s="6">
        <v>0</v>
      </c>
      <c r="I129" s="7">
        <f t="shared" si="23"/>
        <v>0</v>
      </c>
      <c r="J129" s="7">
        <f t="shared" si="21"/>
        <v>0</v>
      </c>
      <c r="K129" s="7">
        <f t="shared" si="18"/>
        <v>0</v>
      </c>
      <c r="L129" s="7">
        <f t="shared" si="16"/>
        <v>0</v>
      </c>
      <c r="M129" s="7">
        <f t="shared" si="19"/>
        <v>0</v>
      </c>
    </row>
    <row r="130" spans="1:13" x14ac:dyDescent="0.3">
      <c r="A130" s="4">
        <v>128</v>
      </c>
      <c r="B130" s="5">
        <f>'Questionnaire '!A139</f>
        <v>0</v>
      </c>
      <c r="C130" s="6">
        <v>4</v>
      </c>
      <c r="D130" s="6">
        <v>3</v>
      </c>
      <c r="E130" s="6">
        <v>2</v>
      </c>
      <c r="F130" s="6">
        <v>1</v>
      </c>
      <c r="G130" s="6">
        <v>0</v>
      </c>
      <c r="I130" s="7">
        <f t="shared" si="23"/>
        <v>0</v>
      </c>
      <c r="J130" s="7">
        <f t="shared" si="21"/>
        <v>0</v>
      </c>
      <c r="K130" s="7">
        <f t="shared" si="18"/>
        <v>0</v>
      </c>
      <c r="L130" s="7">
        <f t="shared" si="16"/>
        <v>0</v>
      </c>
      <c r="M130" s="7">
        <f t="shared" si="19"/>
        <v>0</v>
      </c>
    </row>
    <row r="131" spans="1:13" x14ac:dyDescent="0.3">
      <c r="A131" s="4">
        <v>129</v>
      </c>
      <c r="B131" s="5">
        <f>'Questionnaire '!A140</f>
        <v>0</v>
      </c>
      <c r="C131" s="6">
        <v>0</v>
      </c>
      <c r="D131" s="6">
        <v>1</v>
      </c>
      <c r="E131" s="6">
        <v>2</v>
      </c>
      <c r="F131" s="6">
        <v>3</v>
      </c>
      <c r="G131" s="6">
        <v>4</v>
      </c>
      <c r="I131" s="7">
        <f t="shared" si="23"/>
        <v>0</v>
      </c>
      <c r="J131" s="7">
        <f t="shared" si="21"/>
        <v>0</v>
      </c>
      <c r="K131" s="7">
        <f t="shared" si="18"/>
        <v>0</v>
      </c>
      <c r="L131" s="7">
        <f t="shared" si="16"/>
        <v>0</v>
      </c>
      <c r="M131" s="7">
        <f t="shared" si="19"/>
        <v>0</v>
      </c>
    </row>
    <row r="132" spans="1:13" x14ac:dyDescent="0.3">
      <c r="A132" s="4">
        <v>130</v>
      </c>
      <c r="B132" s="5">
        <f>'Questionnaire '!A141</f>
        <v>0</v>
      </c>
      <c r="C132" s="6">
        <v>4</v>
      </c>
      <c r="D132" s="6">
        <v>3</v>
      </c>
      <c r="E132" s="6">
        <v>2</v>
      </c>
      <c r="F132" s="6">
        <v>1</v>
      </c>
      <c r="G132" s="6">
        <v>0</v>
      </c>
      <c r="I132" s="7">
        <f t="shared" si="23"/>
        <v>0</v>
      </c>
      <c r="J132" s="7">
        <f t="shared" si="21"/>
        <v>0</v>
      </c>
      <c r="K132" s="7">
        <f t="shared" si="18"/>
        <v>0</v>
      </c>
      <c r="L132" s="7">
        <f t="shared" si="16"/>
        <v>0</v>
      </c>
      <c r="M132" s="7">
        <f t="shared" si="19"/>
        <v>0</v>
      </c>
    </row>
    <row r="133" spans="1:13" x14ac:dyDescent="0.3">
      <c r="A133" s="4">
        <v>131</v>
      </c>
      <c r="B133" s="5">
        <f>'Questionnaire '!A142</f>
        <v>0</v>
      </c>
      <c r="C133" s="6">
        <v>0</v>
      </c>
      <c r="D133" s="6">
        <v>1</v>
      </c>
      <c r="E133" s="6">
        <v>2</v>
      </c>
      <c r="F133" s="6">
        <v>3</v>
      </c>
      <c r="G133" s="6">
        <v>4</v>
      </c>
      <c r="I133" s="7">
        <f t="shared" si="23"/>
        <v>0</v>
      </c>
      <c r="J133" s="7">
        <f t="shared" si="21"/>
        <v>0</v>
      </c>
      <c r="K133" s="7">
        <f t="shared" si="18"/>
        <v>0</v>
      </c>
      <c r="L133" s="7">
        <f t="shared" si="16"/>
        <v>0</v>
      </c>
      <c r="M133" s="7">
        <f t="shared" si="19"/>
        <v>0</v>
      </c>
    </row>
    <row r="134" spans="1:13" x14ac:dyDescent="0.3">
      <c r="A134" s="4">
        <v>132</v>
      </c>
      <c r="B134" s="5">
        <f>'Questionnaire '!A143</f>
        <v>0</v>
      </c>
      <c r="C134" s="6">
        <v>0</v>
      </c>
      <c r="D134" s="6">
        <v>1</v>
      </c>
      <c r="E134" s="6">
        <v>2</v>
      </c>
      <c r="F134" s="6">
        <v>3</v>
      </c>
      <c r="G134" s="6">
        <v>4</v>
      </c>
      <c r="I134" s="7">
        <f t="shared" si="23"/>
        <v>0</v>
      </c>
      <c r="J134" s="7">
        <f t="shared" si="21"/>
        <v>0</v>
      </c>
      <c r="K134" s="7">
        <f t="shared" si="18"/>
        <v>0</v>
      </c>
      <c r="L134" s="7">
        <f t="shared" ref="L134:L197" si="24">IF(B134=$F$2,F134,0)</f>
        <v>0</v>
      </c>
      <c r="M134" s="7">
        <f t="shared" si="19"/>
        <v>0</v>
      </c>
    </row>
    <row r="135" spans="1:13" x14ac:dyDescent="0.3">
      <c r="A135" s="4">
        <v>133</v>
      </c>
      <c r="B135" s="5">
        <f>'Questionnaire '!A144</f>
        <v>0</v>
      </c>
      <c r="C135" s="6">
        <v>0</v>
      </c>
      <c r="D135" s="6">
        <v>1</v>
      </c>
      <c r="E135" s="6">
        <v>2</v>
      </c>
      <c r="F135" s="6">
        <v>3</v>
      </c>
      <c r="G135" s="6">
        <v>4</v>
      </c>
      <c r="I135" s="7">
        <f t="shared" si="23"/>
        <v>0</v>
      </c>
      <c r="J135" s="7">
        <f t="shared" si="21"/>
        <v>0</v>
      </c>
      <c r="K135" s="7">
        <f t="shared" si="18"/>
        <v>0</v>
      </c>
      <c r="L135" s="7">
        <f t="shared" si="24"/>
        <v>0</v>
      </c>
      <c r="M135" s="7">
        <f t="shared" si="19"/>
        <v>0</v>
      </c>
    </row>
    <row r="136" spans="1:13" x14ac:dyDescent="0.3">
      <c r="A136" s="4">
        <v>134</v>
      </c>
      <c r="B136" s="5">
        <f>'Questionnaire '!A145</f>
        <v>0</v>
      </c>
      <c r="C136" s="6">
        <v>4</v>
      </c>
      <c r="D136" s="6">
        <v>3</v>
      </c>
      <c r="E136" s="6">
        <v>2</v>
      </c>
      <c r="F136" s="6">
        <v>1</v>
      </c>
      <c r="G136" s="6">
        <v>0</v>
      </c>
      <c r="I136" s="7">
        <f t="shared" si="23"/>
        <v>0</v>
      </c>
      <c r="J136" s="7">
        <f t="shared" si="21"/>
        <v>0</v>
      </c>
      <c r="K136" s="7">
        <f t="shared" si="18"/>
        <v>0</v>
      </c>
      <c r="L136" s="7">
        <f t="shared" si="24"/>
        <v>0</v>
      </c>
      <c r="M136" s="7">
        <f t="shared" si="19"/>
        <v>0</v>
      </c>
    </row>
    <row r="137" spans="1:13" x14ac:dyDescent="0.3">
      <c r="A137" s="4">
        <v>135</v>
      </c>
      <c r="B137" s="5">
        <f>'Questionnaire '!A146</f>
        <v>0</v>
      </c>
      <c r="C137" s="6">
        <v>0</v>
      </c>
      <c r="D137" s="6">
        <v>1</v>
      </c>
      <c r="E137" s="6">
        <v>2</v>
      </c>
      <c r="F137" s="6">
        <v>3</v>
      </c>
      <c r="G137" s="6">
        <v>4</v>
      </c>
      <c r="I137" s="7">
        <f t="shared" si="23"/>
        <v>0</v>
      </c>
      <c r="J137" s="7">
        <f t="shared" si="21"/>
        <v>0</v>
      </c>
      <c r="K137" s="7">
        <f t="shared" si="18"/>
        <v>0</v>
      </c>
      <c r="L137" s="7">
        <f t="shared" si="24"/>
        <v>0</v>
      </c>
      <c r="M137" s="7">
        <f t="shared" si="19"/>
        <v>0</v>
      </c>
    </row>
    <row r="138" spans="1:13" x14ac:dyDescent="0.3">
      <c r="A138" s="4">
        <v>136</v>
      </c>
      <c r="B138" s="5">
        <f>'Questionnaire '!A147</f>
        <v>0</v>
      </c>
      <c r="C138" s="6">
        <v>0</v>
      </c>
      <c r="D138" s="6">
        <v>1</v>
      </c>
      <c r="E138" s="6">
        <v>2</v>
      </c>
      <c r="F138" s="6">
        <v>3</v>
      </c>
      <c r="G138" s="6">
        <v>4</v>
      </c>
      <c r="I138" s="7">
        <f t="shared" si="23"/>
        <v>0</v>
      </c>
      <c r="J138" s="7">
        <f t="shared" si="21"/>
        <v>0</v>
      </c>
      <c r="K138" s="7">
        <f t="shared" si="18"/>
        <v>0</v>
      </c>
      <c r="L138" s="7">
        <f t="shared" si="24"/>
        <v>0</v>
      </c>
      <c r="M138" s="7">
        <f t="shared" si="19"/>
        <v>0</v>
      </c>
    </row>
    <row r="139" spans="1:13" x14ac:dyDescent="0.3">
      <c r="A139" s="4">
        <v>137</v>
      </c>
      <c r="B139" s="5">
        <f>'Questionnaire '!A148</f>
        <v>0</v>
      </c>
      <c r="C139" s="6">
        <v>4</v>
      </c>
      <c r="D139" s="6">
        <v>3</v>
      </c>
      <c r="E139" s="6">
        <v>2</v>
      </c>
      <c r="F139" s="6">
        <v>1</v>
      </c>
      <c r="G139" s="6">
        <v>0</v>
      </c>
      <c r="I139" s="7">
        <f t="shared" si="23"/>
        <v>0</v>
      </c>
      <c r="J139" s="7">
        <f t="shared" si="21"/>
        <v>0</v>
      </c>
      <c r="K139" s="7">
        <f t="shared" si="18"/>
        <v>0</v>
      </c>
      <c r="L139" s="7">
        <f t="shared" si="24"/>
        <v>0</v>
      </c>
      <c r="M139" s="7">
        <f t="shared" si="19"/>
        <v>0</v>
      </c>
    </row>
    <row r="140" spans="1:13" x14ac:dyDescent="0.3">
      <c r="A140" s="4">
        <v>138</v>
      </c>
      <c r="B140" s="5">
        <f>'Questionnaire '!A149</f>
        <v>0</v>
      </c>
      <c r="C140" s="6">
        <v>4</v>
      </c>
      <c r="D140" s="6">
        <v>3</v>
      </c>
      <c r="E140" s="6">
        <v>2</v>
      </c>
      <c r="F140" s="6">
        <v>1</v>
      </c>
      <c r="G140" s="6">
        <v>0</v>
      </c>
      <c r="I140" s="7">
        <f>IF(B140=$C$2,C140,0)</f>
        <v>0</v>
      </c>
      <c r="J140" s="7">
        <f t="shared" si="21"/>
        <v>0</v>
      </c>
      <c r="K140" s="7">
        <f t="shared" si="18"/>
        <v>0</v>
      </c>
      <c r="L140" s="7">
        <f t="shared" si="24"/>
        <v>0</v>
      </c>
      <c r="M140" s="7">
        <f t="shared" si="19"/>
        <v>0</v>
      </c>
    </row>
    <row r="141" spans="1:13" x14ac:dyDescent="0.3">
      <c r="A141" s="4">
        <v>139</v>
      </c>
      <c r="B141" s="5">
        <f>'Questionnaire '!A150</f>
        <v>0</v>
      </c>
      <c r="C141" s="6">
        <v>0</v>
      </c>
      <c r="D141" s="6">
        <v>1</v>
      </c>
      <c r="E141" s="6">
        <v>2</v>
      </c>
      <c r="F141" s="6">
        <v>3</v>
      </c>
      <c r="G141" s="6">
        <v>4</v>
      </c>
      <c r="I141" s="7">
        <f t="shared" ref="I141:I149" si="25">IF(B141=$C$2,C141,0)</f>
        <v>0</v>
      </c>
      <c r="J141" s="7">
        <f t="shared" si="21"/>
        <v>0</v>
      </c>
      <c r="K141" s="7">
        <f t="shared" ref="K141:K204" si="26">IF(B141=$E$2,E141,0)</f>
        <v>0</v>
      </c>
      <c r="L141" s="7">
        <f t="shared" si="24"/>
        <v>0</v>
      </c>
      <c r="M141" s="7">
        <f t="shared" si="19"/>
        <v>0</v>
      </c>
    </row>
    <row r="142" spans="1:13" x14ac:dyDescent="0.3">
      <c r="A142" s="4">
        <v>140</v>
      </c>
      <c r="B142" s="5">
        <f>'Questionnaire '!A151</f>
        <v>0</v>
      </c>
      <c r="C142" s="6">
        <v>4</v>
      </c>
      <c r="D142" s="6">
        <v>3</v>
      </c>
      <c r="E142" s="6">
        <v>2</v>
      </c>
      <c r="F142" s="6">
        <v>1</v>
      </c>
      <c r="G142" s="6">
        <v>0</v>
      </c>
      <c r="I142" s="7">
        <f t="shared" si="25"/>
        <v>0</v>
      </c>
      <c r="J142" s="7">
        <f t="shared" si="21"/>
        <v>0</v>
      </c>
      <c r="K142" s="7">
        <f t="shared" si="26"/>
        <v>0</v>
      </c>
      <c r="L142" s="7">
        <f t="shared" si="24"/>
        <v>0</v>
      </c>
      <c r="M142" s="7">
        <f t="shared" si="19"/>
        <v>0</v>
      </c>
    </row>
    <row r="143" spans="1:13" x14ac:dyDescent="0.3">
      <c r="A143" s="4">
        <v>141</v>
      </c>
      <c r="B143" s="5">
        <f>'Questionnaire '!A152</f>
        <v>0</v>
      </c>
      <c r="C143" s="6">
        <v>4</v>
      </c>
      <c r="D143" s="6">
        <v>3</v>
      </c>
      <c r="E143" s="6">
        <v>2</v>
      </c>
      <c r="F143" s="6">
        <v>1</v>
      </c>
      <c r="G143" s="6">
        <v>0</v>
      </c>
      <c r="I143" s="7">
        <f t="shared" si="25"/>
        <v>0</v>
      </c>
      <c r="J143" s="7">
        <f t="shared" si="21"/>
        <v>0</v>
      </c>
      <c r="K143" s="7">
        <f t="shared" si="26"/>
        <v>0</v>
      </c>
      <c r="L143" s="7">
        <f t="shared" si="24"/>
        <v>0</v>
      </c>
      <c r="M143" s="7">
        <f t="shared" si="19"/>
        <v>0</v>
      </c>
    </row>
    <row r="144" spans="1:13" x14ac:dyDescent="0.3">
      <c r="A144" s="4">
        <v>142</v>
      </c>
      <c r="B144" s="5">
        <f>'Questionnaire '!A153</f>
        <v>0</v>
      </c>
      <c r="C144" s="6">
        <v>0</v>
      </c>
      <c r="D144" s="6">
        <v>1</v>
      </c>
      <c r="E144" s="6">
        <v>2</v>
      </c>
      <c r="F144" s="6">
        <v>3</v>
      </c>
      <c r="G144" s="6">
        <v>4</v>
      </c>
      <c r="I144" s="7">
        <f t="shared" si="25"/>
        <v>0</v>
      </c>
      <c r="J144" s="7">
        <f t="shared" si="21"/>
        <v>0</v>
      </c>
      <c r="K144" s="7">
        <f t="shared" si="26"/>
        <v>0</v>
      </c>
      <c r="L144" s="7">
        <f t="shared" si="24"/>
        <v>0</v>
      </c>
      <c r="M144" s="7">
        <f t="shared" si="19"/>
        <v>0</v>
      </c>
    </row>
    <row r="145" spans="1:13" x14ac:dyDescent="0.3">
      <c r="A145" s="4">
        <v>143</v>
      </c>
      <c r="B145" s="5">
        <f>'Questionnaire '!A154</f>
        <v>0</v>
      </c>
      <c r="C145" s="6">
        <v>0</v>
      </c>
      <c r="D145" s="6">
        <v>1</v>
      </c>
      <c r="E145" s="6">
        <v>2</v>
      </c>
      <c r="F145" s="6">
        <v>3</v>
      </c>
      <c r="G145" s="6">
        <v>4</v>
      </c>
      <c r="I145" s="7">
        <f t="shared" si="25"/>
        <v>0</v>
      </c>
      <c r="J145" s="7">
        <f t="shared" si="21"/>
        <v>0</v>
      </c>
      <c r="K145" s="7">
        <f t="shared" si="26"/>
        <v>0</v>
      </c>
      <c r="L145" s="7">
        <f t="shared" si="24"/>
        <v>0</v>
      </c>
      <c r="M145" s="7">
        <f t="shared" si="19"/>
        <v>0</v>
      </c>
    </row>
    <row r="146" spans="1:13" x14ac:dyDescent="0.3">
      <c r="A146" s="4">
        <v>144</v>
      </c>
      <c r="B146" s="5">
        <f>'Questionnaire '!A155</f>
        <v>0</v>
      </c>
      <c r="C146" s="6">
        <v>4</v>
      </c>
      <c r="D146" s="6">
        <v>3</v>
      </c>
      <c r="E146" s="6">
        <v>2</v>
      </c>
      <c r="F146" s="6">
        <v>1</v>
      </c>
      <c r="G146" s="6">
        <v>0</v>
      </c>
      <c r="I146" s="7">
        <f t="shared" si="25"/>
        <v>0</v>
      </c>
      <c r="J146" s="7">
        <f t="shared" si="21"/>
        <v>0</v>
      </c>
      <c r="K146" s="7">
        <f t="shared" si="26"/>
        <v>0</v>
      </c>
      <c r="L146" s="7">
        <f t="shared" si="24"/>
        <v>0</v>
      </c>
      <c r="M146" s="7">
        <f t="shared" ref="M146:M209" si="27">IF(B146=$G$2,G146,0)</f>
        <v>0</v>
      </c>
    </row>
    <row r="147" spans="1:13" x14ac:dyDescent="0.3">
      <c r="A147" s="4">
        <v>145</v>
      </c>
      <c r="B147" s="5">
        <f>'Questionnaire '!A156</f>
        <v>0</v>
      </c>
      <c r="C147" s="6">
        <v>0</v>
      </c>
      <c r="D147" s="6">
        <v>1</v>
      </c>
      <c r="E147" s="6">
        <v>2</v>
      </c>
      <c r="F147" s="6">
        <v>3</v>
      </c>
      <c r="G147" s="6">
        <v>4</v>
      </c>
      <c r="I147" s="7">
        <f t="shared" si="25"/>
        <v>0</v>
      </c>
      <c r="J147" s="7">
        <f t="shared" si="21"/>
        <v>0</v>
      </c>
      <c r="K147" s="7">
        <f t="shared" si="26"/>
        <v>0</v>
      </c>
      <c r="L147" s="7">
        <f t="shared" si="24"/>
        <v>0</v>
      </c>
      <c r="M147" s="7">
        <f t="shared" si="27"/>
        <v>0</v>
      </c>
    </row>
    <row r="148" spans="1:13" x14ac:dyDescent="0.3">
      <c r="A148" s="4">
        <v>146</v>
      </c>
      <c r="B148" s="5">
        <f>'Questionnaire '!A157</f>
        <v>0</v>
      </c>
      <c r="C148" s="6">
        <v>0</v>
      </c>
      <c r="D148" s="6">
        <v>1</v>
      </c>
      <c r="E148" s="6">
        <v>2</v>
      </c>
      <c r="F148" s="6">
        <v>3</v>
      </c>
      <c r="G148" s="6">
        <v>4</v>
      </c>
      <c r="I148" s="7">
        <f t="shared" si="25"/>
        <v>0</v>
      </c>
      <c r="J148" s="7">
        <f t="shared" si="21"/>
        <v>0</v>
      </c>
      <c r="K148" s="7">
        <f t="shared" si="26"/>
        <v>0</v>
      </c>
      <c r="L148" s="7">
        <f t="shared" si="24"/>
        <v>0</v>
      </c>
      <c r="M148" s="7">
        <f t="shared" si="27"/>
        <v>0</v>
      </c>
    </row>
    <row r="149" spans="1:13" x14ac:dyDescent="0.3">
      <c r="A149" s="4">
        <v>147</v>
      </c>
      <c r="B149" s="5">
        <f>'Questionnaire '!A158</f>
        <v>0</v>
      </c>
      <c r="C149" s="6">
        <v>4</v>
      </c>
      <c r="D149" s="6">
        <v>3</v>
      </c>
      <c r="E149" s="6">
        <v>2</v>
      </c>
      <c r="F149" s="6">
        <v>1</v>
      </c>
      <c r="G149" s="6">
        <v>0</v>
      </c>
      <c r="I149" s="7">
        <f t="shared" si="25"/>
        <v>0</v>
      </c>
      <c r="J149" s="7">
        <f t="shared" si="21"/>
        <v>0</v>
      </c>
      <c r="K149" s="7">
        <f t="shared" si="26"/>
        <v>0</v>
      </c>
      <c r="L149" s="7">
        <f t="shared" si="24"/>
        <v>0</v>
      </c>
      <c r="M149" s="7">
        <f t="shared" si="27"/>
        <v>0</v>
      </c>
    </row>
    <row r="150" spans="1:13" x14ac:dyDescent="0.3">
      <c r="A150" s="4">
        <v>148</v>
      </c>
      <c r="B150" s="5">
        <f>'Questionnaire '!A159</f>
        <v>0</v>
      </c>
      <c r="C150" s="6">
        <v>4</v>
      </c>
      <c r="D150" s="6">
        <v>3</v>
      </c>
      <c r="E150" s="6">
        <v>2</v>
      </c>
      <c r="F150" s="6">
        <v>1</v>
      </c>
      <c r="G150" s="6">
        <v>0</v>
      </c>
      <c r="I150" s="7">
        <f t="shared" ref="I150:I156" si="28">IF(B150=$C$2,C150,0)</f>
        <v>0</v>
      </c>
      <c r="J150" s="7">
        <f t="shared" si="21"/>
        <v>0</v>
      </c>
      <c r="K150" s="7">
        <f t="shared" si="26"/>
        <v>0</v>
      </c>
      <c r="L150" s="7">
        <f t="shared" si="24"/>
        <v>0</v>
      </c>
      <c r="M150" s="7">
        <f t="shared" si="27"/>
        <v>0</v>
      </c>
    </row>
    <row r="151" spans="1:13" x14ac:dyDescent="0.3">
      <c r="A151" s="4">
        <v>149</v>
      </c>
      <c r="B151" s="5">
        <f>'Questionnaire '!A160</f>
        <v>0</v>
      </c>
      <c r="C151" s="6">
        <v>0</v>
      </c>
      <c r="D151" s="6">
        <v>1</v>
      </c>
      <c r="E151" s="6">
        <v>2</v>
      </c>
      <c r="F151" s="6">
        <v>3</v>
      </c>
      <c r="G151" s="6">
        <v>4</v>
      </c>
      <c r="I151" s="7">
        <f t="shared" si="28"/>
        <v>0</v>
      </c>
      <c r="J151" s="7">
        <f t="shared" si="21"/>
        <v>0</v>
      </c>
      <c r="K151" s="7">
        <f t="shared" si="26"/>
        <v>0</v>
      </c>
      <c r="L151" s="7">
        <f t="shared" si="24"/>
        <v>0</v>
      </c>
      <c r="M151" s="7">
        <f t="shared" si="27"/>
        <v>0</v>
      </c>
    </row>
    <row r="152" spans="1:13" x14ac:dyDescent="0.3">
      <c r="A152" s="4">
        <v>150</v>
      </c>
      <c r="B152" s="5">
        <f>'Questionnaire '!A161</f>
        <v>0</v>
      </c>
      <c r="C152" s="6">
        <v>4</v>
      </c>
      <c r="D152" s="6">
        <v>3</v>
      </c>
      <c r="E152" s="6">
        <v>2</v>
      </c>
      <c r="F152" s="6">
        <v>1</v>
      </c>
      <c r="G152" s="6">
        <v>0</v>
      </c>
      <c r="I152" s="7">
        <f t="shared" si="28"/>
        <v>0</v>
      </c>
      <c r="J152" s="7">
        <f t="shared" si="21"/>
        <v>0</v>
      </c>
      <c r="K152" s="7">
        <f t="shared" si="26"/>
        <v>0</v>
      </c>
      <c r="L152" s="7">
        <f t="shared" si="24"/>
        <v>0</v>
      </c>
      <c r="M152" s="7">
        <f t="shared" si="27"/>
        <v>0</v>
      </c>
    </row>
    <row r="153" spans="1:13" x14ac:dyDescent="0.3">
      <c r="A153" s="4">
        <v>151</v>
      </c>
      <c r="B153" s="5">
        <f>'Questionnaire '!A162</f>
        <v>0</v>
      </c>
      <c r="C153" s="6">
        <v>0</v>
      </c>
      <c r="D153" s="6">
        <v>1</v>
      </c>
      <c r="E153" s="6">
        <v>2</v>
      </c>
      <c r="F153" s="6">
        <v>3</v>
      </c>
      <c r="G153" s="6">
        <v>4</v>
      </c>
      <c r="I153" s="7">
        <f t="shared" si="28"/>
        <v>0</v>
      </c>
      <c r="J153" s="7">
        <f t="shared" si="21"/>
        <v>0</v>
      </c>
      <c r="K153" s="7">
        <f t="shared" si="26"/>
        <v>0</v>
      </c>
      <c r="L153" s="7">
        <f t="shared" si="24"/>
        <v>0</v>
      </c>
      <c r="M153" s="7">
        <f t="shared" si="27"/>
        <v>0</v>
      </c>
    </row>
    <row r="154" spans="1:13" x14ac:dyDescent="0.3">
      <c r="A154" s="4">
        <v>152</v>
      </c>
      <c r="B154" s="5">
        <f>'Questionnaire '!A163</f>
        <v>0</v>
      </c>
      <c r="C154" s="6">
        <v>0</v>
      </c>
      <c r="D154" s="6">
        <v>1</v>
      </c>
      <c r="E154" s="6">
        <v>2</v>
      </c>
      <c r="F154" s="6">
        <v>3</v>
      </c>
      <c r="G154" s="6">
        <v>4</v>
      </c>
      <c r="I154" s="7">
        <f t="shared" si="28"/>
        <v>0</v>
      </c>
      <c r="J154" s="7">
        <f t="shared" si="21"/>
        <v>0</v>
      </c>
      <c r="K154" s="7">
        <f t="shared" si="26"/>
        <v>0</v>
      </c>
      <c r="L154" s="7">
        <f t="shared" si="24"/>
        <v>0</v>
      </c>
      <c r="M154" s="7">
        <f t="shared" si="27"/>
        <v>0</v>
      </c>
    </row>
    <row r="155" spans="1:13" x14ac:dyDescent="0.3">
      <c r="A155" s="4">
        <v>153</v>
      </c>
      <c r="B155" s="5">
        <f>'Questionnaire '!A164</f>
        <v>0</v>
      </c>
      <c r="C155" s="6">
        <v>4</v>
      </c>
      <c r="D155" s="6">
        <v>3</v>
      </c>
      <c r="E155" s="6">
        <v>2</v>
      </c>
      <c r="F155" s="6">
        <v>1</v>
      </c>
      <c r="G155" s="6">
        <v>0</v>
      </c>
      <c r="I155" s="7">
        <f t="shared" si="28"/>
        <v>0</v>
      </c>
      <c r="J155" s="7">
        <f t="shared" si="21"/>
        <v>0</v>
      </c>
      <c r="K155" s="7">
        <f t="shared" si="26"/>
        <v>0</v>
      </c>
      <c r="L155" s="7">
        <f t="shared" si="24"/>
        <v>0</v>
      </c>
      <c r="M155" s="7">
        <f t="shared" si="27"/>
        <v>0</v>
      </c>
    </row>
    <row r="156" spans="1:13" x14ac:dyDescent="0.3">
      <c r="A156" s="4">
        <v>154</v>
      </c>
      <c r="B156" s="5">
        <f>'Questionnaire '!A165</f>
        <v>0</v>
      </c>
      <c r="C156" s="6">
        <v>0</v>
      </c>
      <c r="D156" s="6">
        <v>1</v>
      </c>
      <c r="E156" s="6">
        <v>2</v>
      </c>
      <c r="F156" s="6">
        <v>3</v>
      </c>
      <c r="G156" s="6">
        <v>4</v>
      </c>
      <c r="I156" s="7">
        <f t="shared" si="28"/>
        <v>0</v>
      </c>
      <c r="J156" s="7">
        <f t="shared" ref="J156:J219" si="29">IF(B156=$D$2,D156,0)</f>
        <v>0</v>
      </c>
      <c r="K156" s="7">
        <f t="shared" si="26"/>
        <v>0</v>
      </c>
      <c r="L156" s="7">
        <f t="shared" si="24"/>
        <v>0</v>
      </c>
      <c r="M156" s="7">
        <f t="shared" si="27"/>
        <v>0</v>
      </c>
    </row>
    <row r="157" spans="1:13" x14ac:dyDescent="0.3">
      <c r="A157" s="4">
        <v>155</v>
      </c>
      <c r="B157" s="5">
        <f>'Questionnaire '!A166</f>
        <v>0</v>
      </c>
      <c r="C157" s="6">
        <v>4</v>
      </c>
      <c r="D157" s="6">
        <v>3</v>
      </c>
      <c r="E157" s="6">
        <v>2</v>
      </c>
      <c r="F157" s="6">
        <v>1</v>
      </c>
      <c r="G157" s="6">
        <v>0</v>
      </c>
      <c r="I157" s="7">
        <f t="shared" ref="I157:I172" si="30">IF(B157=$C$2,C157,0)</f>
        <v>0</v>
      </c>
      <c r="J157" s="7">
        <f t="shared" si="29"/>
        <v>0</v>
      </c>
      <c r="K157" s="7">
        <f t="shared" si="26"/>
        <v>0</v>
      </c>
      <c r="L157" s="7">
        <f t="shared" si="24"/>
        <v>0</v>
      </c>
      <c r="M157" s="7">
        <f t="shared" si="27"/>
        <v>0</v>
      </c>
    </row>
    <row r="158" spans="1:13" x14ac:dyDescent="0.3">
      <c r="A158" s="4">
        <v>156</v>
      </c>
      <c r="B158" s="5">
        <f>'Questionnaire '!A167</f>
        <v>0</v>
      </c>
      <c r="C158" s="6">
        <v>4</v>
      </c>
      <c r="D158" s="6">
        <v>3</v>
      </c>
      <c r="E158" s="6">
        <v>2</v>
      </c>
      <c r="F158" s="6">
        <v>1</v>
      </c>
      <c r="G158" s="6">
        <v>0</v>
      </c>
      <c r="I158" s="7">
        <f t="shared" si="30"/>
        <v>0</v>
      </c>
      <c r="J158" s="7">
        <f t="shared" si="29"/>
        <v>0</v>
      </c>
      <c r="K158" s="7">
        <f t="shared" si="26"/>
        <v>0</v>
      </c>
      <c r="L158" s="7">
        <f t="shared" si="24"/>
        <v>0</v>
      </c>
      <c r="M158" s="7">
        <f t="shared" si="27"/>
        <v>0</v>
      </c>
    </row>
    <row r="159" spans="1:13" x14ac:dyDescent="0.3">
      <c r="A159" s="4">
        <v>157</v>
      </c>
      <c r="B159" s="5">
        <f>'Questionnaire '!A168</f>
        <v>0</v>
      </c>
      <c r="C159" s="6">
        <v>0</v>
      </c>
      <c r="D159" s="6">
        <v>1</v>
      </c>
      <c r="E159" s="6">
        <v>2</v>
      </c>
      <c r="F159" s="6">
        <v>3</v>
      </c>
      <c r="G159" s="6">
        <v>4</v>
      </c>
      <c r="I159" s="7">
        <f t="shared" si="30"/>
        <v>0</v>
      </c>
      <c r="J159" s="7">
        <f t="shared" si="29"/>
        <v>0</v>
      </c>
      <c r="K159" s="7">
        <f t="shared" si="26"/>
        <v>0</v>
      </c>
      <c r="L159" s="7">
        <f t="shared" si="24"/>
        <v>0</v>
      </c>
      <c r="M159" s="7">
        <f t="shared" si="27"/>
        <v>0</v>
      </c>
    </row>
    <row r="160" spans="1:13" x14ac:dyDescent="0.3">
      <c r="A160" s="4">
        <v>158</v>
      </c>
      <c r="B160" s="5">
        <f>'Questionnaire '!A169</f>
        <v>0</v>
      </c>
      <c r="C160" s="6">
        <v>0</v>
      </c>
      <c r="D160" s="6">
        <v>1</v>
      </c>
      <c r="E160" s="6">
        <v>2</v>
      </c>
      <c r="F160" s="6">
        <v>3</v>
      </c>
      <c r="G160" s="6">
        <v>4</v>
      </c>
      <c r="I160" s="7">
        <f t="shared" si="30"/>
        <v>0</v>
      </c>
      <c r="J160" s="7">
        <f t="shared" si="29"/>
        <v>0</v>
      </c>
      <c r="K160" s="7">
        <f t="shared" si="26"/>
        <v>0</v>
      </c>
      <c r="L160" s="7">
        <f t="shared" si="24"/>
        <v>0</v>
      </c>
      <c r="M160" s="7">
        <f t="shared" si="27"/>
        <v>0</v>
      </c>
    </row>
    <row r="161" spans="1:13" x14ac:dyDescent="0.3">
      <c r="A161" s="4">
        <v>159</v>
      </c>
      <c r="B161" s="5">
        <f>'Questionnaire '!A170</f>
        <v>0</v>
      </c>
      <c r="C161" s="6">
        <v>4</v>
      </c>
      <c r="D161" s="6">
        <v>3</v>
      </c>
      <c r="E161" s="6">
        <v>2</v>
      </c>
      <c r="F161" s="6">
        <v>1</v>
      </c>
      <c r="G161" s="6">
        <v>0</v>
      </c>
      <c r="I161" s="7">
        <f t="shared" si="30"/>
        <v>0</v>
      </c>
      <c r="J161" s="7">
        <f t="shared" si="29"/>
        <v>0</v>
      </c>
      <c r="K161" s="7">
        <f t="shared" si="26"/>
        <v>0</v>
      </c>
      <c r="L161" s="7">
        <f t="shared" si="24"/>
        <v>0</v>
      </c>
      <c r="M161" s="7">
        <f t="shared" si="27"/>
        <v>0</v>
      </c>
    </row>
    <row r="162" spans="1:13" x14ac:dyDescent="0.3">
      <c r="A162" s="4">
        <v>160</v>
      </c>
      <c r="B162" s="5">
        <f>'Questionnaire '!A171</f>
        <v>0</v>
      </c>
      <c r="C162" s="6">
        <v>0</v>
      </c>
      <c r="D162" s="6">
        <v>1</v>
      </c>
      <c r="E162" s="6">
        <v>2</v>
      </c>
      <c r="F162" s="6">
        <v>3</v>
      </c>
      <c r="G162" s="6">
        <v>4</v>
      </c>
      <c r="I162" s="7">
        <f t="shared" si="30"/>
        <v>0</v>
      </c>
      <c r="J162" s="7">
        <f t="shared" si="29"/>
        <v>0</v>
      </c>
      <c r="K162" s="7">
        <f t="shared" si="26"/>
        <v>0</v>
      </c>
      <c r="L162" s="7">
        <f t="shared" si="24"/>
        <v>0</v>
      </c>
      <c r="M162" s="7">
        <f t="shared" si="27"/>
        <v>0</v>
      </c>
    </row>
    <row r="163" spans="1:13" x14ac:dyDescent="0.3">
      <c r="A163" s="4">
        <v>161</v>
      </c>
      <c r="B163" s="5">
        <f>'Questionnaire '!A172</f>
        <v>0</v>
      </c>
      <c r="C163" s="6">
        <v>0</v>
      </c>
      <c r="D163" s="6">
        <v>1</v>
      </c>
      <c r="E163" s="6">
        <v>2</v>
      </c>
      <c r="F163" s="6">
        <v>3</v>
      </c>
      <c r="G163" s="6">
        <v>4</v>
      </c>
      <c r="I163" s="7">
        <f t="shared" si="30"/>
        <v>0</v>
      </c>
      <c r="J163" s="7">
        <f t="shared" si="29"/>
        <v>0</v>
      </c>
      <c r="K163" s="7">
        <f t="shared" si="26"/>
        <v>0</v>
      </c>
      <c r="L163" s="7">
        <f t="shared" si="24"/>
        <v>0</v>
      </c>
      <c r="M163" s="7">
        <f t="shared" si="27"/>
        <v>0</v>
      </c>
    </row>
    <row r="164" spans="1:13" x14ac:dyDescent="0.3">
      <c r="A164" s="4">
        <v>162</v>
      </c>
      <c r="B164" s="5">
        <f>'Questionnaire '!A173</f>
        <v>0</v>
      </c>
      <c r="C164" s="6">
        <v>4</v>
      </c>
      <c r="D164" s="6">
        <v>3</v>
      </c>
      <c r="E164" s="6">
        <v>2</v>
      </c>
      <c r="F164" s="6">
        <v>1</v>
      </c>
      <c r="G164" s="6">
        <v>0</v>
      </c>
      <c r="I164" s="7">
        <f t="shared" si="30"/>
        <v>0</v>
      </c>
      <c r="J164" s="7">
        <f t="shared" si="29"/>
        <v>0</v>
      </c>
      <c r="K164" s="7">
        <f t="shared" si="26"/>
        <v>0</v>
      </c>
      <c r="L164" s="7">
        <f t="shared" si="24"/>
        <v>0</v>
      </c>
      <c r="M164" s="7">
        <f t="shared" si="27"/>
        <v>0</v>
      </c>
    </row>
    <row r="165" spans="1:13" x14ac:dyDescent="0.3">
      <c r="A165" s="4">
        <v>163</v>
      </c>
      <c r="B165" s="5">
        <f>'Questionnaire '!A174</f>
        <v>0</v>
      </c>
      <c r="C165" s="6">
        <v>4</v>
      </c>
      <c r="D165" s="6">
        <v>3</v>
      </c>
      <c r="E165" s="6">
        <v>2</v>
      </c>
      <c r="F165" s="6">
        <v>1</v>
      </c>
      <c r="G165" s="6">
        <v>0</v>
      </c>
      <c r="I165" s="7">
        <f t="shared" si="30"/>
        <v>0</v>
      </c>
      <c r="J165" s="7">
        <f t="shared" si="29"/>
        <v>0</v>
      </c>
      <c r="K165" s="7">
        <f t="shared" si="26"/>
        <v>0</v>
      </c>
      <c r="L165" s="7">
        <f t="shared" si="24"/>
        <v>0</v>
      </c>
      <c r="M165" s="7">
        <f t="shared" si="27"/>
        <v>0</v>
      </c>
    </row>
    <row r="166" spans="1:13" x14ac:dyDescent="0.3">
      <c r="A166" s="4">
        <v>164</v>
      </c>
      <c r="B166" s="5">
        <f>'Questionnaire '!A175</f>
        <v>0</v>
      </c>
      <c r="C166" s="6">
        <v>0</v>
      </c>
      <c r="D166" s="6">
        <v>1</v>
      </c>
      <c r="E166" s="6">
        <v>2</v>
      </c>
      <c r="F166" s="6">
        <v>3</v>
      </c>
      <c r="G166" s="6">
        <v>4</v>
      </c>
      <c r="I166" s="7">
        <f t="shared" si="30"/>
        <v>0</v>
      </c>
      <c r="J166" s="7">
        <f t="shared" si="29"/>
        <v>0</v>
      </c>
      <c r="K166" s="7">
        <f t="shared" si="26"/>
        <v>0</v>
      </c>
      <c r="L166" s="7">
        <f t="shared" si="24"/>
        <v>0</v>
      </c>
      <c r="M166" s="7">
        <f t="shared" si="27"/>
        <v>0</v>
      </c>
    </row>
    <row r="167" spans="1:13" x14ac:dyDescent="0.3">
      <c r="A167" s="4">
        <v>165</v>
      </c>
      <c r="B167" s="5">
        <f>'Questionnaire '!A176</f>
        <v>0</v>
      </c>
      <c r="C167" s="6">
        <v>0</v>
      </c>
      <c r="D167" s="6">
        <v>1</v>
      </c>
      <c r="E167" s="6">
        <v>2</v>
      </c>
      <c r="F167" s="6">
        <v>3</v>
      </c>
      <c r="G167" s="6">
        <v>4</v>
      </c>
      <c r="I167" s="7">
        <f t="shared" si="30"/>
        <v>0</v>
      </c>
      <c r="J167" s="7">
        <f t="shared" si="29"/>
        <v>0</v>
      </c>
      <c r="K167" s="7">
        <f t="shared" si="26"/>
        <v>0</v>
      </c>
      <c r="L167" s="7">
        <f t="shared" si="24"/>
        <v>0</v>
      </c>
      <c r="M167" s="7">
        <f t="shared" si="27"/>
        <v>0</v>
      </c>
    </row>
    <row r="168" spans="1:13" x14ac:dyDescent="0.3">
      <c r="A168" s="4">
        <v>166</v>
      </c>
      <c r="B168" s="5">
        <f>'Questionnaire '!A177</f>
        <v>0</v>
      </c>
      <c r="C168" s="6">
        <v>4</v>
      </c>
      <c r="D168" s="6">
        <v>3</v>
      </c>
      <c r="E168" s="6">
        <v>2</v>
      </c>
      <c r="F168" s="6">
        <v>1</v>
      </c>
      <c r="G168" s="6">
        <v>0</v>
      </c>
      <c r="I168" s="7">
        <f t="shared" si="30"/>
        <v>0</v>
      </c>
      <c r="J168" s="7">
        <f t="shared" si="29"/>
        <v>0</v>
      </c>
      <c r="K168" s="7">
        <f t="shared" si="26"/>
        <v>0</v>
      </c>
      <c r="L168" s="7">
        <f t="shared" si="24"/>
        <v>0</v>
      </c>
      <c r="M168" s="7">
        <f t="shared" si="27"/>
        <v>0</v>
      </c>
    </row>
    <row r="169" spans="1:13" x14ac:dyDescent="0.3">
      <c r="A169" s="4">
        <v>167</v>
      </c>
      <c r="B169" s="5">
        <f>'Questionnaire '!A178</f>
        <v>0</v>
      </c>
      <c r="C169" s="6">
        <v>0</v>
      </c>
      <c r="D169" s="6">
        <v>1</v>
      </c>
      <c r="E169" s="6">
        <v>2</v>
      </c>
      <c r="F169" s="6">
        <v>3</v>
      </c>
      <c r="G169" s="6">
        <v>4</v>
      </c>
      <c r="I169" s="7">
        <f t="shared" si="30"/>
        <v>0</v>
      </c>
      <c r="J169" s="7">
        <f t="shared" si="29"/>
        <v>0</v>
      </c>
      <c r="K169" s="7">
        <f t="shared" si="26"/>
        <v>0</v>
      </c>
      <c r="L169" s="7">
        <f t="shared" si="24"/>
        <v>0</v>
      </c>
      <c r="M169" s="7">
        <f t="shared" si="27"/>
        <v>0</v>
      </c>
    </row>
    <row r="170" spans="1:13" x14ac:dyDescent="0.3">
      <c r="A170" s="4">
        <v>168</v>
      </c>
      <c r="B170" s="5">
        <f>'Questionnaire '!A179</f>
        <v>0</v>
      </c>
      <c r="C170" s="6">
        <v>0</v>
      </c>
      <c r="D170" s="6">
        <v>1</v>
      </c>
      <c r="E170" s="6">
        <v>2</v>
      </c>
      <c r="F170" s="6">
        <v>3</v>
      </c>
      <c r="G170" s="6">
        <v>4</v>
      </c>
      <c r="I170" s="7">
        <f t="shared" si="30"/>
        <v>0</v>
      </c>
      <c r="J170" s="7">
        <f t="shared" si="29"/>
        <v>0</v>
      </c>
      <c r="K170" s="7">
        <f t="shared" si="26"/>
        <v>0</v>
      </c>
      <c r="L170" s="7">
        <f t="shared" si="24"/>
        <v>0</v>
      </c>
      <c r="M170" s="7">
        <f t="shared" si="27"/>
        <v>0</v>
      </c>
    </row>
    <row r="171" spans="1:13" x14ac:dyDescent="0.3">
      <c r="A171" s="4">
        <v>169</v>
      </c>
      <c r="B171" s="5">
        <f>'Questionnaire '!A180</f>
        <v>0</v>
      </c>
      <c r="C171" s="6">
        <v>4</v>
      </c>
      <c r="D171" s="6">
        <v>3</v>
      </c>
      <c r="E171" s="6">
        <v>2</v>
      </c>
      <c r="F171" s="6">
        <v>1</v>
      </c>
      <c r="G171" s="6">
        <v>0</v>
      </c>
      <c r="I171" s="7">
        <f t="shared" si="30"/>
        <v>0</v>
      </c>
      <c r="J171" s="7">
        <f t="shared" si="29"/>
        <v>0</v>
      </c>
      <c r="K171" s="7">
        <f t="shared" si="26"/>
        <v>0</v>
      </c>
      <c r="L171" s="7">
        <f t="shared" si="24"/>
        <v>0</v>
      </c>
      <c r="M171" s="7">
        <f t="shared" si="27"/>
        <v>0</v>
      </c>
    </row>
    <row r="172" spans="1:13" x14ac:dyDescent="0.3">
      <c r="A172" s="4">
        <v>170</v>
      </c>
      <c r="B172" s="5">
        <f>'Questionnaire '!A181</f>
        <v>0</v>
      </c>
      <c r="C172" s="6">
        <v>0</v>
      </c>
      <c r="D172" s="6">
        <v>1</v>
      </c>
      <c r="E172" s="6">
        <v>2</v>
      </c>
      <c r="F172" s="6">
        <v>3</v>
      </c>
      <c r="G172" s="6">
        <v>4</v>
      </c>
      <c r="I172" s="7">
        <f t="shared" si="30"/>
        <v>0</v>
      </c>
      <c r="J172" s="7">
        <f t="shared" si="29"/>
        <v>0</v>
      </c>
      <c r="K172" s="7">
        <f t="shared" si="26"/>
        <v>0</v>
      </c>
      <c r="L172" s="7">
        <f t="shared" si="24"/>
        <v>0</v>
      </c>
      <c r="M172" s="7">
        <f t="shared" si="27"/>
        <v>0</v>
      </c>
    </row>
    <row r="173" spans="1:13" x14ac:dyDescent="0.3">
      <c r="A173" s="4">
        <v>171</v>
      </c>
      <c r="B173" s="5">
        <f>'Questionnaire '!A182</f>
        <v>0</v>
      </c>
      <c r="C173" s="6">
        <v>0</v>
      </c>
      <c r="D173" s="6">
        <v>1</v>
      </c>
      <c r="E173" s="6">
        <v>2</v>
      </c>
      <c r="F173" s="6">
        <v>3</v>
      </c>
      <c r="G173" s="6">
        <v>4</v>
      </c>
      <c r="I173" s="7">
        <f t="shared" ref="I173:I179" si="31">IF(B173=$C$2,C173,0)</f>
        <v>0</v>
      </c>
      <c r="J173" s="7">
        <f t="shared" si="29"/>
        <v>0</v>
      </c>
      <c r="K173" s="7">
        <f t="shared" si="26"/>
        <v>0</v>
      </c>
      <c r="L173" s="7">
        <f t="shared" si="24"/>
        <v>0</v>
      </c>
      <c r="M173" s="7">
        <f t="shared" si="27"/>
        <v>0</v>
      </c>
    </row>
    <row r="174" spans="1:13" x14ac:dyDescent="0.3">
      <c r="A174" s="4">
        <v>172</v>
      </c>
      <c r="B174" s="5">
        <f>'Questionnaire '!A183</f>
        <v>0</v>
      </c>
      <c r="C174" s="6">
        <v>0</v>
      </c>
      <c r="D174" s="6">
        <v>1</v>
      </c>
      <c r="E174" s="6">
        <v>2</v>
      </c>
      <c r="F174" s="6">
        <v>3</v>
      </c>
      <c r="G174" s="6">
        <v>4</v>
      </c>
      <c r="I174" s="7">
        <f t="shared" si="31"/>
        <v>0</v>
      </c>
      <c r="J174" s="7">
        <f t="shared" si="29"/>
        <v>0</v>
      </c>
      <c r="K174" s="7">
        <f t="shared" si="26"/>
        <v>0</v>
      </c>
      <c r="L174" s="7">
        <f t="shared" si="24"/>
        <v>0</v>
      </c>
      <c r="M174" s="7">
        <f t="shared" si="27"/>
        <v>0</v>
      </c>
    </row>
    <row r="175" spans="1:13" x14ac:dyDescent="0.3">
      <c r="A175" s="4">
        <v>173</v>
      </c>
      <c r="B175" s="5">
        <f>'Questionnaire '!A184</f>
        <v>0</v>
      </c>
      <c r="C175" s="6">
        <v>4</v>
      </c>
      <c r="D175" s="6">
        <v>3</v>
      </c>
      <c r="E175" s="6">
        <v>2</v>
      </c>
      <c r="F175" s="6">
        <v>1</v>
      </c>
      <c r="G175" s="6">
        <v>0</v>
      </c>
      <c r="I175" s="7">
        <f t="shared" si="31"/>
        <v>0</v>
      </c>
      <c r="J175" s="7">
        <f t="shared" si="29"/>
        <v>0</v>
      </c>
      <c r="K175" s="7">
        <f t="shared" si="26"/>
        <v>0</v>
      </c>
      <c r="L175" s="7">
        <f t="shared" si="24"/>
        <v>0</v>
      </c>
      <c r="M175" s="7">
        <f t="shared" si="27"/>
        <v>0</v>
      </c>
    </row>
    <row r="176" spans="1:13" x14ac:dyDescent="0.3">
      <c r="A176" s="4">
        <v>174</v>
      </c>
      <c r="B176" s="5">
        <f>'Questionnaire '!A185</f>
        <v>0</v>
      </c>
      <c r="C176" s="6">
        <v>0</v>
      </c>
      <c r="D176" s="6">
        <v>1</v>
      </c>
      <c r="E176" s="6">
        <v>2</v>
      </c>
      <c r="F176" s="6">
        <v>3</v>
      </c>
      <c r="G176" s="6">
        <v>4</v>
      </c>
      <c r="I176" s="7">
        <f t="shared" si="31"/>
        <v>0</v>
      </c>
      <c r="J176" s="7">
        <f t="shared" si="29"/>
        <v>0</v>
      </c>
      <c r="K176" s="7">
        <f t="shared" si="26"/>
        <v>0</v>
      </c>
      <c r="L176" s="7">
        <f t="shared" si="24"/>
        <v>0</v>
      </c>
      <c r="M176" s="7">
        <f t="shared" si="27"/>
        <v>0</v>
      </c>
    </row>
    <row r="177" spans="1:13" x14ac:dyDescent="0.3">
      <c r="A177" s="4">
        <v>175</v>
      </c>
      <c r="B177" s="5">
        <f>'Questionnaire '!A186</f>
        <v>0</v>
      </c>
      <c r="C177" s="6">
        <v>4</v>
      </c>
      <c r="D177" s="6">
        <v>3</v>
      </c>
      <c r="E177" s="6">
        <v>2</v>
      </c>
      <c r="F177" s="6">
        <v>1</v>
      </c>
      <c r="G177" s="6">
        <v>0</v>
      </c>
      <c r="I177" s="7">
        <f t="shared" si="31"/>
        <v>0</v>
      </c>
      <c r="J177" s="7">
        <f t="shared" si="29"/>
        <v>0</v>
      </c>
      <c r="K177" s="7">
        <f t="shared" si="26"/>
        <v>0</v>
      </c>
      <c r="L177" s="7">
        <f t="shared" si="24"/>
        <v>0</v>
      </c>
      <c r="M177" s="7">
        <f t="shared" si="27"/>
        <v>0</v>
      </c>
    </row>
    <row r="178" spans="1:13" x14ac:dyDescent="0.3">
      <c r="A178" s="4">
        <v>176</v>
      </c>
      <c r="B178" s="5">
        <f>'Questionnaire '!A187</f>
        <v>0</v>
      </c>
      <c r="C178" s="6">
        <v>4</v>
      </c>
      <c r="D178" s="6">
        <v>3</v>
      </c>
      <c r="E178" s="6">
        <v>2</v>
      </c>
      <c r="F178" s="6">
        <v>1</v>
      </c>
      <c r="G178" s="6">
        <v>0</v>
      </c>
      <c r="I178" s="7">
        <f t="shared" si="31"/>
        <v>0</v>
      </c>
      <c r="J178" s="7">
        <f t="shared" si="29"/>
        <v>0</v>
      </c>
      <c r="K178" s="7">
        <f t="shared" si="26"/>
        <v>0</v>
      </c>
      <c r="L178" s="7">
        <f t="shared" si="24"/>
        <v>0</v>
      </c>
      <c r="M178" s="7">
        <f t="shared" si="27"/>
        <v>0</v>
      </c>
    </row>
    <row r="179" spans="1:13" x14ac:dyDescent="0.3">
      <c r="A179" s="4">
        <v>177</v>
      </c>
      <c r="B179" s="5">
        <f>'Questionnaire '!A189</f>
        <v>0</v>
      </c>
      <c r="C179" s="6">
        <v>0</v>
      </c>
      <c r="D179" s="6">
        <v>1</v>
      </c>
      <c r="E179" s="6">
        <v>2</v>
      </c>
      <c r="F179" s="6">
        <v>3</v>
      </c>
      <c r="G179" s="6">
        <v>4</v>
      </c>
      <c r="I179" s="7">
        <f t="shared" si="31"/>
        <v>0</v>
      </c>
      <c r="J179" s="7">
        <f t="shared" si="29"/>
        <v>0</v>
      </c>
      <c r="K179" s="7">
        <f t="shared" si="26"/>
        <v>0</v>
      </c>
      <c r="L179" s="7">
        <f t="shared" si="24"/>
        <v>0</v>
      </c>
      <c r="M179" s="7">
        <f t="shared" si="27"/>
        <v>0</v>
      </c>
    </row>
    <row r="180" spans="1:13" x14ac:dyDescent="0.3">
      <c r="A180" s="4">
        <v>178</v>
      </c>
      <c r="B180" s="5">
        <f>'Questionnaire '!A189</f>
        <v>0</v>
      </c>
      <c r="C180" s="6">
        <v>0</v>
      </c>
      <c r="D180" s="6">
        <v>1</v>
      </c>
      <c r="E180" s="6">
        <v>2</v>
      </c>
      <c r="F180" s="6">
        <v>3</v>
      </c>
      <c r="G180" s="6">
        <v>4</v>
      </c>
      <c r="I180" s="7">
        <f t="shared" ref="I180:I187" si="32">IF(B180=$C$2,C180,0)</f>
        <v>0</v>
      </c>
      <c r="J180" s="7">
        <f t="shared" si="29"/>
        <v>0</v>
      </c>
      <c r="K180" s="7">
        <f t="shared" si="26"/>
        <v>0</v>
      </c>
      <c r="L180" s="7">
        <f t="shared" si="24"/>
        <v>0</v>
      </c>
      <c r="M180" s="7">
        <f t="shared" si="27"/>
        <v>0</v>
      </c>
    </row>
    <row r="181" spans="1:13" x14ac:dyDescent="0.3">
      <c r="A181" s="4">
        <v>179</v>
      </c>
      <c r="B181" s="5">
        <f>'Questionnaire '!A190</f>
        <v>0</v>
      </c>
      <c r="C181" s="6">
        <v>0</v>
      </c>
      <c r="D181" s="6">
        <v>1</v>
      </c>
      <c r="E181" s="6">
        <v>2</v>
      </c>
      <c r="F181" s="6">
        <v>3</v>
      </c>
      <c r="G181" s="6">
        <v>4</v>
      </c>
      <c r="I181" s="7">
        <f t="shared" si="32"/>
        <v>0</v>
      </c>
      <c r="J181" s="7">
        <f t="shared" si="29"/>
        <v>0</v>
      </c>
      <c r="K181" s="7">
        <f t="shared" si="26"/>
        <v>0</v>
      </c>
      <c r="L181" s="7">
        <f t="shared" si="24"/>
        <v>0</v>
      </c>
      <c r="M181" s="7">
        <f t="shared" si="27"/>
        <v>0</v>
      </c>
    </row>
    <row r="182" spans="1:13" x14ac:dyDescent="0.3">
      <c r="A182" s="4">
        <v>180</v>
      </c>
      <c r="B182" s="5">
        <f>'Questionnaire '!A191</f>
        <v>0</v>
      </c>
      <c r="C182" s="6">
        <v>0</v>
      </c>
      <c r="D182" s="6">
        <v>1</v>
      </c>
      <c r="E182" s="6">
        <v>2</v>
      </c>
      <c r="F182" s="6">
        <v>3</v>
      </c>
      <c r="G182" s="6">
        <v>4</v>
      </c>
      <c r="I182" s="7">
        <f t="shared" si="32"/>
        <v>0</v>
      </c>
      <c r="J182" s="7">
        <f t="shared" si="29"/>
        <v>0</v>
      </c>
      <c r="K182" s="7">
        <f t="shared" si="26"/>
        <v>0</v>
      </c>
      <c r="L182" s="7">
        <f t="shared" si="24"/>
        <v>0</v>
      </c>
      <c r="M182" s="7">
        <f t="shared" si="27"/>
        <v>0</v>
      </c>
    </row>
    <row r="183" spans="1:13" x14ac:dyDescent="0.3">
      <c r="A183" s="4">
        <v>181</v>
      </c>
      <c r="B183" s="5">
        <f>'Questionnaire '!A192</f>
        <v>0</v>
      </c>
      <c r="C183" s="6">
        <v>4</v>
      </c>
      <c r="D183" s="6">
        <v>3</v>
      </c>
      <c r="E183" s="6">
        <v>2</v>
      </c>
      <c r="F183" s="6">
        <v>1</v>
      </c>
      <c r="G183" s="6">
        <v>0</v>
      </c>
      <c r="I183" s="7">
        <f t="shared" si="32"/>
        <v>0</v>
      </c>
      <c r="J183" s="7">
        <f t="shared" si="29"/>
        <v>0</v>
      </c>
      <c r="K183" s="7">
        <f t="shared" si="26"/>
        <v>0</v>
      </c>
      <c r="L183" s="7">
        <f t="shared" si="24"/>
        <v>0</v>
      </c>
      <c r="M183" s="7">
        <f t="shared" si="27"/>
        <v>0</v>
      </c>
    </row>
    <row r="184" spans="1:13" x14ac:dyDescent="0.3">
      <c r="A184" s="4">
        <v>182</v>
      </c>
      <c r="B184" s="5">
        <f>'Questionnaire '!A193</f>
        <v>0</v>
      </c>
      <c r="C184" s="6">
        <v>0</v>
      </c>
      <c r="D184" s="6">
        <v>1</v>
      </c>
      <c r="E184" s="6">
        <v>2</v>
      </c>
      <c r="F184" s="6">
        <v>3</v>
      </c>
      <c r="G184" s="6">
        <v>4</v>
      </c>
      <c r="I184" s="7">
        <f t="shared" si="32"/>
        <v>0</v>
      </c>
      <c r="J184" s="7">
        <f t="shared" si="29"/>
        <v>0</v>
      </c>
      <c r="K184" s="7">
        <f t="shared" si="26"/>
        <v>0</v>
      </c>
      <c r="L184" s="7">
        <f t="shared" si="24"/>
        <v>0</v>
      </c>
      <c r="M184" s="7">
        <f t="shared" si="27"/>
        <v>0</v>
      </c>
    </row>
    <row r="185" spans="1:13" x14ac:dyDescent="0.3">
      <c r="A185" s="4">
        <v>183</v>
      </c>
      <c r="B185" s="5">
        <f>'Questionnaire '!A194</f>
        <v>0</v>
      </c>
      <c r="C185" s="6">
        <v>4</v>
      </c>
      <c r="D185" s="6">
        <v>3</v>
      </c>
      <c r="E185" s="6">
        <v>2</v>
      </c>
      <c r="F185" s="6">
        <v>1</v>
      </c>
      <c r="G185" s="6">
        <v>0</v>
      </c>
      <c r="I185" s="7">
        <f t="shared" si="32"/>
        <v>0</v>
      </c>
      <c r="J185" s="7">
        <f t="shared" si="29"/>
        <v>0</v>
      </c>
      <c r="K185" s="7">
        <f t="shared" si="26"/>
        <v>0</v>
      </c>
      <c r="L185" s="7">
        <f t="shared" si="24"/>
        <v>0</v>
      </c>
      <c r="M185" s="7">
        <f t="shared" si="27"/>
        <v>0</v>
      </c>
    </row>
    <row r="186" spans="1:13" x14ac:dyDescent="0.3">
      <c r="A186" s="4">
        <v>184</v>
      </c>
      <c r="B186" s="5">
        <f>'Questionnaire '!A195</f>
        <v>0</v>
      </c>
      <c r="C186" s="6">
        <v>0</v>
      </c>
      <c r="D186" s="6">
        <v>1</v>
      </c>
      <c r="E186" s="6">
        <v>2</v>
      </c>
      <c r="F186" s="6">
        <v>3</v>
      </c>
      <c r="G186" s="6">
        <v>4</v>
      </c>
      <c r="I186" s="7">
        <f t="shared" si="32"/>
        <v>0</v>
      </c>
      <c r="J186" s="7">
        <f t="shared" si="29"/>
        <v>0</v>
      </c>
      <c r="K186" s="7">
        <f t="shared" si="26"/>
        <v>0</v>
      </c>
      <c r="L186" s="7">
        <f t="shared" si="24"/>
        <v>0</v>
      </c>
      <c r="M186" s="7">
        <f t="shared" si="27"/>
        <v>0</v>
      </c>
    </row>
    <row r="187" spans="1:13" x14ac:dyDescent="0.3">
      <c r="A187" s="4">
        <v>185</v>
      </c>
      <c r="B187" s="5">
        <f>'Questionnaire '!A196</f>
        <v>0</v>
      </c>
      <c r="C187" s="6">
        <v>0</v>
      </c>
      <c r="D187" s="6">
        <v>1</v>
      </c>
      <c r="E187" s="6">
        <v>2</v>
      </c>
      <c r="F187" s="6">
        <v>3</v>
      </c>
      <c r="G187" s="6">
        <v>4</v>
      </c>
      <c r="I187" s="7">
        <f t="shared" si="32"/>
        <v>0</v>
      </c>
      <c r="J187" s="7">
        <f t="shared" si="29"/>
        <v>0</v>
      </c>
      <c r="K187" s="7">
        <f t="shared" si="26"/>
        <v>0</v>
      </c>
      <c r="L187" s="7">
        <f t="shared" si="24"/>
        <v>0</v>
      </c>
      <c r="M187" s="7">
        <f t="shared" si="27"/>
        <v>0</v>
      </c>
    </row>
    <row r="188" spans="1:13" x14ac:dyDescent="0.3">
      <c r="A188" s="4">
        <v>186</v>
      </c>
      <c r="B188" s="5">
        <f>'Questionnaire '!A197</f>
        <v>0</v>
      </c>
      <c r="C188" s="6">
        <v>0</v>
      </c>
      <c r="D188" s="6">
        <v>1</v>
      </c>
      <c r="E188" s="6">
        <v>2</v>
      </c>
      <c r="F188" s="6">
        <v>3</v>
      </c>
      <c r="G188" s="6">
        <v>4</v>
      </c>
      <c r="I188" s="7">
        <f t="shared" ref="I188:I194" si="33">IF(B188=$C$2,C188,0)</f>
        <v>0</v>
      </c>
      <c r="J188" s="7">
        <f t="shared" si="29"/>
        <v>0</v>
      </c>
      <c r="K188" s="7">
        <f t="shared" si="26"/>
        <v>0</v>
      </c>
      <c r="L188" s="7">
        <f t="shared" si="24"/>
        <v>0</v>
      </c>
      <c r="M188" s="7">
        <f t="shared" si="27"/>
        <v>0</v>
      </c>
    </row>
    <row r="189" spans="1:13" x14ac:dyDescent="0.3">
      <c r="A189" s="4">
        <v>187</v>
      </c>
      <c r="B189" s="5">
        <f>'Questionnaire '!A198</f>
        <v>0</v>
      </c>
      <c r="C189" s="6">
        <v>4</v>
      </c>
      <c r="D189" s="6">
        <v>3</v>
      </c>
      <c r="E189" s="6">
        <v>2</v>
      </c>
      <c r="F189" s="6">
        <v>1</v>
      </c>
      <c r="G189" s="6">
        <v>0</v>
      </c>
      <c r="I189" s="7">
        <f t="shared" si="33"/>
        <v>0</v>
      </c>
      <c r="J189" s="7">
        <f t="shared" si="29"/>
        <v>0</v>
      </c>
      <c r="K189" s="7">
        <f t="shared" si="26"/>
        <v>0</v>
      </c>
      <c r="L189" s="7">
        <f t="shared" si="24"/>
        <v>0</v>
      </c>
      <c r="M189" s="7">
        <f t="shared" si="27"/>
        <v>0</v>
      </c>
    </row>
    <row r="190" spans="1:13" x14ac:dyDescent="0.3">
      <c r="A190" s="4">
        <v>188</v>
      </c>
      <c r="B190" s="5">
        <f>'Questionnaire '!A199</f>
        <v>0</v>
      </c>
      <c r="C190" s="6">
        <v>0</v>
      </c>
      <c r="D190" s="6">
        <v>1</v>
      </c>
      <c r="E190" s="6">
        <v>2</v>
      </c>
      <c r="F190" s="6">
        <v>3</v>
      </c>
      <c r="G190" s="6">
        <v>4</v>
      </c>
      <c r="I190" s="7">
        <f t="shared" si="33"/>
        <v>0</v>
      </c>
      <c r="J190" s="7">
        <f t="shared" si="29"/>
        <v>0</v>
      </c>
      <c r="K190" s="7">
        <f t="shared" si="26"/>
        <v>0</v>
      </c>
      <c r="L190" s="7">
        <f t="shared" si="24"/>
        <v>0</v>
      </c>
      <c r="M190" s="7">
        <f t="shared" si="27"/>
        <v>0</v>
      </c>
    </row>
    <row r="191" spans="1:13" x14ac:dyDescent="0.3">
      <c r="A191" s="4">
        <v>189</v>
      </c>
      <c r="B191" s="5">
        <f>'Questionnaire '!A200</f>
        <v>0</v>
      </c>
      <c r="C191" s="6">
        <v>4</v>
      </c>
      <c r="D191" s="6">
        <v>3</v>
      </c>
      <c r="E191" s="6">
        <v>2</v>
      </c>
      <c r="F191" s="6">
        <v>1</v>
      </c>
      <c r="G191" s="6">
        <v>0</v>
      </c>
      <c r="I191" s="7">
        <f t="shared" si="33"/>
        <v>0</v>
      </c>
      <c r="J191" s="7">
        <f t="shared" si="29"/>
        <v>0</v>
      </c>
      <c r="K191" s="7">
        <f t="shared" si="26"/>
        <v>0</v>
      </c>
      <c r="L191" s="7">
        <f t="shared" si="24"/>
        <v>0</v>
      </c>
      <c r="M191" s="7">
        <f t="shared" si="27"/>
        <v>0</v>
      </c>
    </row>
    <row r="192" spans="1:13" x14ac:dyDescent="0.3">
      <c r="A192" s="4">
        <v>190</v>
      </c>
      <c r="B192" s="5">
        <f>'Questionnaire '!A201</f>
        <v>0</v>
      </c>
      <c r="C192" s="6">
        <v>4</v>
      </c>
      <c r="D192" s="6">
        <v>3</v>
      </c>
      <c r="E192" s="6">
        <v>2</v>
      </c>
      <c r="F192" s="6">
        <v>1</v>
      </c>
      <c r="G192" s="6">
        <v>0</v>
      </c>
      <c r="I192" s="7">
        <f t="shared" si="33"/>
        <v>0</v>
      </c>
      <c r="J192" s="7">
        <f t="shared" si="29"/>
        <v>0</v>
      </c>
      <c r="K192" s="7">
        <f t="shared" si="26"/>
        <v>0</v>
      </c>
      <c r="L192" s="7">
        <f t="shared" si="24"/>
        <v>0</v>
      </c>
      <c r="M192" s="7">
        <f t="shared" si="27"/>
        <v>0</v>
      </c>
    </row>
    <row r="193" spans="1:13" x14ac:dyDescent="0.3">
      <c r="A193" s="4">
        <v>191</v>
      </c>
      <c r="B193" s="5">
        <f>'Questionnaire '!A202</f>
        <v>0</v>
      </c>
      <c r="C193" s="6">
        <v>0</v>
      </c>
      <c r="D193" s="6">
        <v>1</v>
      </c>
      <c r="E193" s="6">
        <v>2</v>
      </c>
      <c r="F193" s="6">
        <v>3</v>
      </c>
      <c r="G193" s="6">
        <v>4</v>
      </c>
      <c r="I193" s="7">
        <f t="shared" si="33"/>
        <v>0</v>
      </c>
      <c r="J193" s="7">
        <f t="shared" si="29"/>
        <v>0</v>
      </c>
      <c r="K193" s="7">
        <f t="shared" si="26"/>
        <v>0</v>
      </c>
      <c r="L193" s="7">
        <f t="shared" si="24"/>
        <v>0</v>
      </c>
      <c r="M193" s="7">
        <f t="shared" si="27"/>
        <v>0</v>
      </c>
    </row>
    <row r="194" spans="1:13" x14ac:dyDescent="0.3">
      <c r="A194" s="4">
        <v>192</v>
      </c>
      <c r="B194" s="5">
        <f>'Questionnaire '!A203</f>
        <v>0</v>
      </c>
      <c r="C194" s="6">
        <v>0</v>
      </c>
      <c r="D194" s="6">
        <v>1</v>
      </c>
      <c r="E194" s="6">
        <v>2</v>
      </c>
      <c r="F194" s="6">
        <v>3</v>
      </c>
      <c r="G194" s="6">
        <v>4</v>
      </c>
      <c r="I194" s="7">
        <f t="shared" si="33"/>
        <v>0</v>
      </c>
      <c r="J194" s="7">
        <f t="shared" si="29"/>
        <v>0</v>
      </c>
      <c r="K194" s="7">
        <f t="shared" si="26"/>
        <v>0</v>
      </c>
      <c r="L194" s="7">
        <f t="shared" si="24"/>
        <v>0</v>
      </c>
      <c r="M194" s="7">
        <f t="shared" si="27"/>
        <v>0</v>
      </c>
    </row>
    <row r="195" spans="1:13" x14ac:dyDescent="0.3">
      <c r="A195" s="4">
        <v>193</v>
      </c>
      <c r="B195" s="5">
        <f>'Questionnaire '!A204</f>
        <v>0</v>
      </c>
      <c r="C195" s="6">
        <v>0</v>
      </c>
      <c r="D195" s="6">
        <v>1</v>
      </c>
      <c r="E195" s="6">
        <v>2</v>
      </c>
      <c r="F195" s="6">
        <v>3</v>
      </c>
      <c r="G195" s="6">
        <v>4</v>
      </c>
      <c r="I195" s="7">
        <f t="shared" ref="I195:I202" si="34">IF(B195=$C$2,C195,0)</f>
        <v>0</v>
      </c>
      <c r="J195" s="7">
        <f t="shared" si="29"/>
        <v>0</v>
      </c>
      <c r="K195" s="7">
        <f t="shared" si="26"/>
        <v>0</v>
      </c>
      <c r="L195" s="7">
        <f t="shared" si="24"/>
        <v>0</v>
      </c>
      <c r="M195" s="7">
        <f t="shared" si="27"/>
        <v>0</v>
      </c>
    </row>
    <row r="196" spans="1:13" x14ac:dyDescent="0.3">
      <c r="A196" s="4">
        <v>194</v>
      </c>
      <c r="B196" s="5">
        <f>'Questionnaire '!A205</f>
        <v>0</v>
      </c>
      <c r="C196" s="6">
        <v>0</v>
      </c>
      <c r="D196" s="6">
        <v>1</v>
      </c>
      <c r="E196" s="6">
        <v>2</v>
      </c>
      <c r="F196" s="6">
        <v>3</v>
      </c>
      <c r="G196" s="6">
        <v>4</v>
      </c>
      <c r="I196" s="7">
        <f t="shared" si="34"/>
        <v>0</v>
      </c>
      <c r="J196" s="7">
        <f t="shared" si="29"/>
        <v>0</v>
      </c>
      <c r="K196" s="7">
        <f t="shared" si="26"/>
        <v>0</v>
      </c>
      <c r="L196" s="7">
        <f t="shared" si="24"/>
        <v>0</v>
      </c>
      <c r="M196" s="7">
        <f t="shared" si="27"/>
        <v>0</v>
      </c>
    </row>
    <row r="197" spans="1:13" x14ac:dyDescent="0.3">
      <c r="A197" s="4">
        <v>195</v>
      </c>
      <c r="B197" s="5">
        <f>'Questionnaire '!A206</f>
        <v>0</v>
      </c>
      <c r="C197" s="6">
        <v>0</v>
      </c>
      <c r="D197" s="6">
        <v>1</v>
      </c>
      <c r="E197" s="6">
        <v>2</v>
      </c>
      <c r="F197" s="6">
        <v>3</v>
      </c>
      <c r="G197" s="6">
        <v>4</v>
      </c>
      <c r="I197" s="7">
        <f t="shared" si="34"/>
        <v>0</v>
      </c>
      <c r="J197" s="7">
        <f t="shared" si="29"/>
        <v>0</v>
      </c>
      <c r="K197" s="7">
        <f t="shared" si="26"/>
        <v>0</v>
      </c>
      <c r="L197" s="7">
        <f t="shared" si="24"/>
        <v>0</v>
      </c>
      <c r="M197" s="7">
        <f t="shared" si="27"/>
        <v>0</v>
      </c>
    </row>
    <row r="198" spans="1:13" x14ac:dyDescent="0.3">
      <c r="A198" s="4">
        <v>196</v>
      </c>
      <c r="B198" s="5">
        <f>'Questionnaire '!A207</f>
        <v>0</v>
      </c>
      <c r="C198" s="6">
        <v>0</v>
      </c>
      <c r="D198" s="6">
        <v>1</v>
      </c>
      <c r="E198" s="6">
        <v>2</v>
      </c>
      <c r="F198" s="6">
        <v>3</v>
      </c>
      <c r="G198" s="6">
        <v>4</v>
      </c>
      <c r="I198" s="7">
        <f t="shared" si="34"/>
        <v>0</v>
      </c>
      <c r="J198" s="7">
        <f t="shared" si="29"/>
        <v>0</v>
      </c>
      <c r="K198" s="7">
        <f t="shared" si="26"/>
        <v>0</v>
      </c>
      <c r="L198" s="7">
        <f t="shared" ref="L198:L241" si="35">IF(B198=$F$2,F198,0)</f>
        <v>0</v>
      </c>
      <c r="M198" s="7">
        <f t="shared" si="27"/>
        <v>0</v>
      </c>
    </row>
    <row r="199" spans="1:13" x14ac:dyDescent="0.3">
      <c r="A199" s="4">
        <v>197</v>
      </c>
      <c r="B199" s="5">
        <f>'Questionnaire '!A208</f>
        <v>0</v>
      </c>
      <c r="C199" s="6">
        <v>0</v>
      </c>
      <c r="D199" s="6">
        <v>1</v>
      </c>
      <c r="E199" s="6">
        <v>2</v>
      </c>
      <c r="F199" s="6">
        <v>3</v>
      </c>
      <c r="G199" s="6">
        <v>4</v>
      </c>
      <c r="I199" s="7">
        <f t="shared" si="34"/>
        <v>0</v>
      </c>
      <c r="J199" s="7">
        <f t="shared" si="29"/>
        <v>0</v>
      </c>
      <c r="K199" s="7">
        <f t="shared" si="26"/>
        <v>0</v>
      </c>
      <c r="L199" s="7">
        <f t="shared" si="35"/>
        <v>0</v>
      </c>
      <c r="M199" s="7">
        <f t="shared" si="27"/>
        <v>0</v>
      </c>
    </row>
    <row r="200" spans="1:13" x14ac:dyDescent="0.3">
      <c r="A200" s="4">
        <v>198</v>
      </c>
      <c r="B200" s="5">
        <f>'Questionnaire '!A209</f>
        <v>0</v>
      </c>
      <c r="C200" s="6">
        <v>4</v>
      </c>
      <c r="D200" s="6">
        <v>3</v>
      </c>
      <c r="E200" s="6">
        <v>2</v>
      </c>
      <c r="F200" s="6">
        <v>1</v>
      </c>
      <c r="G200" s="6">
        <v>0</v>
      </c>
      <c r="I200" s="7">
        <f t="shared" si="34"/>
        <v>0</v>
      </c>
      <c r="J200" s="7">
        <f t="shared" si="29"/>
        <v>0</v>
      </c>
      <c r="K200" s="7">
        <f t="shared" si="26"/>
        <v>0</v>
      </c>
      <c r="L200" s="7">
        <f t="shared" si="35"/>
        <v>0</v>
      </c>
      <c r="M200" s="7">
        <f t="shared" si="27"/>
        <v>0</v>
      </c>
    </row>
    <row r="201" spans="1:13" x14ac:dyDescent="0.3">
      <c r="A201" s="4">
        <v>199</v>
      </c>
      <c r="B201" s="5">
        <f>'Questionnaire '!A210</f>
        <v>0</v>
      </c>
      <c r="C201" s="6">
        <v>4</v>
      </c>
      <c r="D201" s="6">
        <v>3</v>
      </c>
      <c r="E201" s="6">
        <v>2</v>
      </c>
      <c r="F201" s="6">
        <v>1</v>
      </c>
      <c r="G201" s="6">
        <v>0</v>
      </c>
      <c r="I201" s="7">
        <f t="shared" si="34"/>
        <v>0</v>
      </c>
      <c r="J201" s="7">
        <f t="shared" si="29"/>
        <v>0</v>
      </c>
      <c r="K201" s="7">
        <f t="shared" si="26"/>
        <v>0</v>
      </c>
      <c r="L201" s="7">
        <f t="shared" si="35"/>
        <v>0</v>
      </c>
      <c r="M201" s="7">
        <f t="shared" si="27"/>
        <v>0</v>
      </c>
    </row>
    <row r="202" spans="1:13" x14ac:dyDescent="0.3">
      <c r="A202" s="4">
        <v>200</v>
      </c>
      <c r="B202" s="5">
        <f>'Questionnaire '!A211</f>
        <v>0</v>
      </c>
      <c r="C202" s="6">
        <v>0</v>
      </c>
      <c r="D202" s="6">
        <v>1</v>
      </c>
      <c r="E202" s="6">
        <v>2</v>
      </c>
      <c r="F202" s="6">
        <v>3</v>
      </c>
      <c r="G202" s="6">
        <v>4</v>
      </c>
      <c r="I202" s="7">
        <f t="shared" si="34"/>
        <v>0</v>
      </c>
      <c r="J202" s="7">
        <f t="shared" si="29"/>
        <v>0</v>
      </c>
      <c r="K202" s="7">
        <f t="shared" si="26"/>
        <v>0</v>
      </c>
      <c r="L202" s="7">
        <f t="shared" si="35"/>
        <v>0</v>
      </c>
      <c r="M202" s="7">
        <f t="shared" si="27"/>
        <v>0</v>
      </c>
    </row>
    <row r="203" spans="1:13" x14ac:dyDescent="0.3">
      <c r="A203" s="4">
        <v>201</v>
      </c>
      <c r="B203" s="5">
        <f>'Questionnaire '!A212</f>
        <v>0</v>
      </c>
      <c r="C203" s="6">
        <v>0</v>
      </c>
      <c r="D203" s="6">
        <v>1</v>
      </c>
      <c r="E203" s="6">
        <v>2</v>
      </c>
      <c r="F203" s="6">
        <v>3</v>
      </c>
      <c r="G203" s="6">
        <v>4</v>
      </c>
      <c r="I203" s="7">
        <f>IF(B203=$C$2,C203,0)</f>
        <v>0</v>
      </c>
      <c r="J203" s="7">
        <f t="shared" si="29"/>
        <v>0</v>
      </c>
      <c r="K203" s="7">
        <f t="shared" si="26"/>
        <v>0</v>
      </c>
      <c r="L203" s="7">
        <f t="shared" si="35"/>
        <v>0</v>
      </c>
      <c r="M203" s="7">
        <f t="shared" si="27"/>
        <v>0</v>
      </c>
    </row>
    <row r="204" spans="1:13" x14ac:dyDescent="0.3">
      <c r="A204" s="4">
        <v>202</v>
      </c>
      <c r="B204" s="5">
        <f>'Questionnaire '!A213</f>
        <v>0</v>
      </c>
      <c r="C204" s="6">
        <v>0</v>
      </c>
      <c r="D204" s="6">
        <v>1</v>
      </c>
      <c r="E204" s="6">
        <v>2</v>
      </c>
      <c r="F204" s="6">
        <v>3</v>
      </c>
      <c r="G204" s="6">
        <v>4</v>
      </c>
      <c r="I204" s="7">
        <f t="shared" ref="I204:I213" si="36">IF(B204=$C$2,C204,0)</f>
        <v>0</v>
      </c>
      <c r="J204" s="7">
        <f t="shared" si="29"/>
        <v>0</v>
      </c>
      <c r="K204" s="7">
        <f t="shared" si="26"/>
        <v>0</v>
      </c>
      <c r="L204" s="7">
        <f t="shared" si="35"/>
        <v>0</v>
      </c>
      <c r="M204" s="7">
        <f t="shared" si="27"/>
        <v>0</v>
      </c>
    </row>
    <row r="205" spans="1:13" x14ac:dyDescent="0.3">
      <c r="A205" s="4">
        <v>203</v>
      </c>
      <c r="B205" s="5">
        <f>'Questionnaire '!A214</f>
        <v>0</v>
      </c>
      <c r="C205" s="6">
        <v>0</v>
      </c>
      <c r="D205" s="6">
        <v>1</v>
      </c>
      <c r="E205" s="6">
        <v>2</v>
      </c>
      <c r="F205" s="6">
        <v>3</v>
      </c>
      <c r="G205" s="6">
        <v>4</v>
      </c>
      <c r="I205" s="7">
        <f t="shared" si="36"/>
        <v>0</v>
      </c>
      <c r="J205" s="7">
        <f t="shared" si="29"/>
        <v>0</v>
      </c>
      <c r="K205" s="7">
        <f t="shared" ref="K205:K242" si="37">IF(B205=$E$2,E205,0)</f>
        <v>0</v>
      </c>
      <c r="L205" s="7">
        <f t="shared" si="35"/>
        <v>0</v>
      </c>
      <c r="M205" s="7">
        <f t="shared" si="27"/>
        <v>0</v>
      </c>
    </row>
    <row r="206" spans="1:13" x14ac:dyDescent="0.3">
      <c r="A206" s="4">
        <v>204</v>
      </c>
      <c r="B206" s="5">
        <f>'Questionnaire '!A215</f>
        <v>0</v>
      </c>
      <c r="C206" s="6">
        <v>0</v>
      </c>
      <c r="D206" s="6">
        <v>1</v>
      </c>
      <c r="E206" s="6">
        <v>2</v>
      </c>
      <c r="F206" s="6">
        <v>3</v>
      </c>
      <c r="G206" s="6">
        <v>4</v>
      </c>
      <c r="I206" s="7">
        <f t="shared" si="36"/>
        <v>0</v>
      </c>
      <c r="J206" s="7">
        <f t="shared" si="29"/>
        <v>0</v>
      </c>
      <c r="K206" s="7">
        <f t="shared" si="37"/>
        <v>0</v>
      </c>
      <c r="L206" s="7">
        <f t="shared" si="35"/>
        <v>0</v>
      </c>
      <c r="M206" s="7">
        <f t="shared" si="27"/>
        <v>0</v>
      </c>
    </row>
    <row r="207" spans="1:13" x14ac:dyDescent="0.3">
      <c r="A207" s="4">
        <v>205</v>
      </c>
      <c r="B207" s="5">
        <f>'Questionnaire '!A216</f>
        <v>0</v>
      </c>
      <c r="C207" s="6">
        <v>4</v>
      </c>
      <c r="D207" s="6">
        <v>3</v>
      </c>
      <c r="E207" s="6">
        <v>2</v>
      </c>
      <c r="F207" s="6">
        <v>1</v>
      </c>
      <c r="G207" s="6">
        <v>0</v>
      </c>
      <c r="I207" s="7">
        <f t="shared" si="36"/>
        <v>0</v>
      </c>
      <c r="J207" s="7">
        <f t="shared" si="29"/>
        <v>0</v>
      </c>
      <c r="K207" s="7">
        <f t="shared" si="37"/>
        <v>0</v>
      </c>
      <c r="L207" s="7">
        <f t="shared" si="35"/>
        <v>0</v>
      </c>
      <c r="M207" s="7">
        <f t="shared" si="27"/>
        <v>0</v>
      </c>
    </row>
    <row r="208" spans="1:13" x14ac:dyDescent="0.3">
      <c r="A208" s="4">
        <v>206</v>
      </c>
      <c r="B208" s="5">
        <f>'Questionnaire '!A217</f>
        <v>0</v>
      </c>
      <c r="C208" s="6">
        <v>4</v>
      </c>
      <c r="D208" s="6">
        <v>3</v>
      </c>
      <c r="E208" s="6">
        <v>2</v>
      </c>
      <c r="F208" s="6">
        <v>1</v>
      </c>
      <c r="G208" s="6">
        <v>0</v>
      </c>
      <c r="I208" s="7">
        <f t="shared" si="36"/>
        <v>0</v>
      </c>
      <c r="J208" s="7">
        <f t="shared" si="29"/>
        <v>0</v>
      </c>
      <c r="K208" s="7">
        <f t="shared" si="37"/>
        <v>0</v>
      </c>
      <c r="L208" s="7">
        <f t="shared" si="35"/>
        <v>0</v>
      </c>
      <c r="M208" s="7">
        <f t="shared" si="27"/>
        <v>0</v>
      </c>
    </row>
    <row r="209" spans="1:13" x14ac:dyDescent="0.3">
      <c r="A209" s="4">
        <v>207</v>
      </c>
      <c r="B209" s="5">
        <f>'Questionnaire '!A218</f>
        <v>0</v>
      </c>
      <c r="C209" s="6">
        <v>4</v>
      </c>
      <c r="D209" s="6">
        <v>3</v>
      </c>
      <c r="E209" s="6">
        <v>2</v>
      </c>
      <c r="F209" s="6">
        <v>1</v>
      </c>
      <c r="G209" s="6">
        <v>0</v>
      </c>
      <c r="I209" s="7">
        <f t="shared" si="36"/>
        <v>0</v>
      </c>
      <c r="J209" s="7">
        <f t="shared" si="29"/>
        <v>0</v>
      </c>
      <c r="K209" s="7">
        <f t="shared" si="37"/>
        <v>0</v>
      </c>
      <c r="L209" s="7">
        <f t="shared" si="35"/>
        <v>0</v>
      </c>
      <c r="M209" s="7">
        <f t="shared" si="27"/>
        <v>0</v>
      </c>
    </row>
    <row r="210" spans="1:13" x14ac:dyDescent="0.3">
      <c r="A210" s="4">
        <v>208</v>
      </c>
      <c r="B210" s="5">
        <f>'Questionnaire '!A219</f>
        <v>0</v>
      </c>
      <c r="C210" s="6">
        <v>4</v>
      </c>
      <c r="D210" s="6">
        <v>3</v>
      </c>
      <c r="E210" s="6">
        <v>2</v>
      </c>
      <c r="F210" s="6">
        <v>1</v>
      </c>
      <c r="G210" s="6">
        <v>0</v>
      </c>
      <c r="I210" s="7">
        <f t="shared" si="36"/>
        <v>0</v>
      </c>
      <c r="J210" s="7">
        <f t="shared" si="29"/>
        <v>0</v>
      </c>
      <c r="K210" s="7">
        <f t="shared" si="37"/>
        <v>0</v>
      </c>
      <c r="L210" s="7">
        <f t="shared" si="35"/>
        <v>0</v>
      </c>
      <c r="M210" s="7">
        <f t="shared" ref="M210:M242" si="38">IF(B210=$G$2,G210,0)</f>
        <v>0</v>
      </c>
    </row>
    <row r="211" spans="1:13" x14ac:dyDescent="0.3">
      <c r="A211" s="4">
        <v>209</v>
      </c>
      <c r="B211" s="5">
        <f>'Questionnaire '!A220</f>
        <v>0</v>
      </c>
      <c r="C211" s="6">
        <v>0</v>
      </c>
      <c r="D211" s="6">
        <v>1</v>
      </c>
      <c r="E211" s="6">
        <v>2</v>
      </c>
      <c r="F211" s="6">
        <v>3</v>
      </c>
      <c r="G211" s="6">
        <v>4</v>
      </c>
      <c r="I211" s="7">
        <f t="shared" si="36"/>
        <v>0</v>
      </c>
      <c r="J211" s="7">
        <f t="shared" si="29"/>
        <v>0</v>
      </c>
      <c r="K211" s="7">
        <f t="shared" si="37"/>
        <v>0</v>
      </c>
      <c r="L211" s="7">
        <f t="shared" si="35"/>
        <v>0</v>
      </c>
      <c r="M211" s="7">
        <f t="shared" si="38"/>
        <v>0</v>
      </c>
    </row>
    <row r="212" spans="1:13" x14ac:dyDescent="0.3">
      <c r="A212" s="4">
        <v>210</v>
      </c>
      <c r="B212" s="5">
        <f>'Questionnaire '!A221</f>
        <v>0</v>
      </c>
      <c r="C212" s="6">
        <v>0</v>
      </c>
      <c r="D212" s="6">
        <v>1</v>
      </c>
      <c r="E212" s="6">
        <v>2</v>
      </c>
      <c r="F212" s="6">
        <v>3</v>
      </c>
      <c r="G212" s="6">
        <v>4</v>
      </c>
      <c r="I212" s="7">
        <f t="shared" si="36"/>
        <v>0</v>
      </c>
      <c r="J212" s="7">
        <f t="shared" si="29"/>
        <v>0</v>
      </c>
      <c r="K212" s="7">
        <f t="shared" si="37"/>
        <v>0</v>
      </c>
      <c r="L212" s="7">
        <f t="shared" si="35"/>
        <v>0</v>
      </c>
      <c r="M212" s="7">
        <f t="shared" si="38"/>
        <v>0</v>
      </c>
    </row>
    <row r="213" spans="1:13" x14ac:dyDescent="0.3">
      <c r="A213" s="4">
        <v>211</v>
      </c>
      <c r="B213" s="5">
        <f>'Questionnaire '!A222</f>
        <v>0</v>
      </c>
      <c r="C213" s="6">
        <v>0</v>
      </c>
      <c r="D213" s="6">
        <v>1</v>
      </c>
      <c r="E213" s="6">
        <v>2</v>
      </c>
      <c r="F213" s="6">
        <v>3</v>
      </c>
      <c r="G213" s="6">
        <v>4</v>
      </c>
      <c r="I213" s="7">
        <f t="shared" si="36"/>
        <v>0</v>
      </c>
      <c r="J213" s="7">
        <f t="shared" si="29"/>
        <v>0</v>
      </c>
      <c r="K213" s="7">
        <f t="shared" si="37"/>
        <v>0</v>
      </c>
      <c r="L213" s="7">
        <f t="shared" si="35"/>
        <v>0</v>
      </c>
      <c r="M213" s="7">
        <f t="shared" si="38"/>
        <v>0</v>
      </c>
    </row>
    <row r="214" spans="1:13" x14ac:dyDescent="0.3">
      <c r="A214" s="4">
        <v>212</v>
      </c>
      <c r="B214" s="5">
        <f>'Questionnaire '!A223</f>
        <v>0</v>
      </c>
      <c r="C214" s="6">
        <v>0</v>
      </c>
      <c r="D214" s="6">
        <v>1</v>
      </c>
      <c r="E214" s="6">
        <v>2</v>
      </c>
      <c r="F214" s="6">
        <v>3</v>
      </c>
      <c r="G214" s="6">
        <v>4</v>
      </c>
      <c r="I214" s="7">
        <f>IF(B214=$C$2,C214,0)</f>
        <v>0</v>
      </c>
      <c r="J214" s="7">
        <f t="shared" si="29"/>
        <v>0</v>
      </c>
      <c r="K214" s="7">
        <f t="shared" si="37"/>
        <v>0</v>
      </c>
      <c r="L214" s="7">
        <f t="shared" si="35"/>
        <v>0</v>
      </c>
      <c r="M214" s="7">
        <f t="shared" si="38"/>
        <v>0</v>
      </c>
    </row>
    <row r="215" spans="1:13" x14ac:dyDescent="0.3">
      <c r="A215" s="4">
        <v>213</v>
      </c>
      <c r="B215" s="5">
        <f>'Questionnaire '!A224</f>
        <v>0</v>
      </c>
      <c r="C215" s="6">
        <v>4</v>
      </c>
      <c r="D215" s="6">
        <v>3</v>
      </c>
      <c r="E215" s="6">
        <v>2</v>
      </c>
      <c r="F215" s="6">
        <v>1</v>
      </c>
      <c r="G215" s="6">
        <v>0</v>
      </c>
      <c r="I215" s="7">
        <f t="shared" ref="I215:I231" si="39">IF(B215=$C$2,C215,0)</f>
        <v>0</v>
      </c>
      <c r="J215" s="7">
        <f t="shared" si="29"/>
        <v>0</v>
      </c>
      <c r="K215" s="7">
        <f t="shared" si="37"/>
        <v>0</v>
      </c>
      <c r="L215" s="7">
        <f t="shared" si="35"/>
        <v>0</v>
      </c>
      <c r="M215" s="7">
        <f t="shared" si="38"/>
        <v>0</v>
      </c>
    </row>
    <row r="216" spans="1:13" x14ac:dyDescent="0.3">
      <c r="A216" s="4">
        <v>214</v>
      </c>
      <c r="B216" s="5">
        <f>'Questionnaire '!A225</f>
        <v>0</v>
      </c>
      <c r="C216" s="6">
        <v>0</v>
      </c>
      <c r="D216" s="6">
        <v>1</v>
      </c>
      <c r="E216" s="6">
        <v>2</v>
      </c>
      <c r="F216" s="6">
        <v>3</v>
      </c>
      <c r="G216" s="6">
        <v>4</v>
      </c>
      <c r="I216" s="7">
        <f t="shared" si="39"/>
        <v>0</v>
      </c>
      <c r="J216" s="7">
        <f t="shared" si="29"/>
        <v>0</v>
      </c>
      <c r="K216" s="7">
        <f t="shared" si="37"/>
        <v>0</v>
      </c>
      <c r="L216" s="7">
        <f t="shared" si="35"/>
        <v>0</v>
      </c>
      <c r="M216" s="7">
        <f t="shared" si="38"/>
        <v>0</v>
      </c>
    </row>
    <row r="217" spans="1:13" x14ac:dyDescent="0.3">
      <c r="A217" s="4">
        <v>215</v>
      </c>
      <c r="B217" s="5">
        <f>'Questionnaire '!A226</f>
        <v>0</v>
      </c>
      <c r="C217" s="6">
        <v>0</v>
      </c>
      <c r="D217" s="6">
        <v>1</v>
      </c>
      <c r="E217" s="6">
        <v>2</v>
      </c>
      <c r="F217" s="6">
        <v>3</v>
      </c>
      <c r="G217" s="6">
        <v>4</v>
      </c>
      <c r="I217" s="7">
        <f t="shared" si="39"/>
        <v>0</v>
      </c>
      <c r="J217" s="7">
        <f t="shared" si="29"/>
        <v>0</v>
      </c>
      <c r="K217" s="7">
        <f t="shared" si="37"/>
        <v>0</v>
      </c>
      <c r="L217" s="7">
        <f t="shared" si="35"/>
        <v>0</v>
      </c>
      <c r="M217" s="7">
        <f t="shared" si="38"/>
        <v>0</v>
      </c>
    </row>
    <row r="218" spans="1:13" x14ac:dyDescent="0.3">
      <c r="A218" s="4">
        <v>216</v>
      </c>
      <c r="B218" s="5">
        <f>'Questionnaire '!A227</f>
        <v>0</v>
      </c>
      <c r="C218" s="6">
        <v>0</v>
      </c>
      <c r="D218" s="6">
        <v>1</v>
      </c>
      <c r="E218" s="6">
        <v>2</v>
      </c>
      <c r="F218" s="6">
        <v>3</v>
      </c>
      <c r="G218" s="6">
        <v>4</v>
      </c>
      <c r="I218" s="7">
        <f t="shared" si="39"/>
        <v>0</v>
      </c>
      <c r="J218" s="7">
        <f t="shared" si="29"/>
        <v>0</v>
      </c>
      <c r="K218" s="7">
        <f t="shared" si="37"/>
        <v>0</v>
      </c>
      <c r="L218" s="7">
        <f t="shared" si="35"/>
        <v>0</v>
      </c>
      <c r="M218" s="7">
        <f t="shared" si="38"/>
        <v>0</v>
      </c>
    </row>
    <row r="219" spans="1:13" x14ac:dyDescent="0.3">
      <c r="A219" s="4">
        <v>217</v>
      </c>
      <c r="B219" s="5">
        <f>'Questionnaire '!A228</f>
        <v>0</v>
      </c>
      <c r="C219" s="6">
        <v>0</v>
      </c>
      <c r="D219" s="6">
        <v>1</v>
      </c>
      <c r="E219" s="6">
        <v>2</v>
      </c>
      <c r="F219" s="6">
        <v>3</v>
      </c>
      <c r="G219" s="6">
        <v>4</v>
      </c>
      <c r="I219" s="7">
        <f t="shared" si="39"/>
        <v>0</v>
      </c>
      <c r="J219" s="7">
        <f t="shared" si="29"/>
        <v>0</v>
      </c>
      <c r="K219" s="7">
        <f t="shared" si="37"/>
        <v>0</v>
      </c>
      <c r="L219" s="7">
        <f t="shared" si="35"/>
        <v>0</v>
      </c>
      <c r="M219" s="7">
        <f t="shared" si="38"/>
        <v>0</v>
      </c>
    </row>
    <row r="220" spans="1:13" x14ac:dyDescent="0.3">
      <c r="A220" s="4">
        <v>218</v>
      </c>
      <c r="B220" s="5">
        <f>'Questionnaire '!A229</f>
        <v>0</v>
      </c>
      <c r="C220" s="6">
        <v>0</v>
      </c>
      <c r="D220" s="6">
        <v>1</v>
      </c>
      <c r="E220" s="6">
        <v>2</v>
      </c>
      <c r="F220" s="6">
        <v>3</v>
      </c>
      <c r="G220" s="6">
        <v>4</v>
      </c>
      <c r="I220" s="7">
        <f t="shared" si="39"/>
        <v>0</v>
      </c>
      <c r="J220" s="7">
        <f t="shared" ref="J220:J241" si="40">IF(B220=$D$2,D220,0)</f>
        <v>0</v>
      </c>
      <c r="K220" s="7">
        <f t="shared" si="37"/>
        <v>0</v>
      </c>
      <c r="L220" s="7">
        <f t="shared" si="35"/>
        <v>0</v>
      </c>
      <c r="M220" s="7">
        <f t="shared" si="38"/>
        <v>0</v>
      </c>
    </row>
    <row r="221" spans="1:13" x14ac:dyDescent="0.3">
      <c r="A221" s="4">
        <v>219</v>
      </c>
      <c r="B221" s="5">
        <f>'Questionnaire '!A230</f>
        <v>0</v>
      </c>
      <c r="C221" s="6">
        <v>4</v>
      </c>
      <c r="D221" s="6">
        <v>3</v>
      </c>
      <c r="E221" s="6">
        <v>2</v>
      </c>
      <c r="F221" s="6">
        <v>1</v>
      </c>
      <c r="G221" s="6">
        <v>0</v>
      </c>
      <c r="I221" s="7">
        <f t="shared" si="39"/>
        <v>0</v>
      </c>
      <c r="J221" s="7">
        <f t="shared" si="40"/>
        <v>0</v>
      </c>
      <c r="K221" s="7">
        <f t="shared" si="37"/>
        <v>0</v>
      </c>
      <c r="L221" s="7">
        <f t="shared" si="35"/>
        <v>0</v>
      </c>
      <c r="M221" s="7">
        <f t="shared" si="38"/>
        <v>0</v>
      </c>
    </row>
    <row r="222" spans="1:13" x14ac:dyDescent="0.3">
      <c r="A222" s="4">
        <v>220</v>
      </c>
      <c r="B222" s="5">
        <f>'Questionnaire '!A231</f>
        <v>0</v>
      </c>
      <c r="C222" s="6">
        <v>4</v>
      </c>
      <c r="D222" s="6">
        <v>3</v>
      </c>
      <c r="E222" s="6">
        <v>2</v>
      </c>
      <c r="F222" s="6">
        <v>1</v>
      </c>
      <c r="G222" s="6">
        <v>0</v>
      </c>
      <c r="I222" s="7">
        <f t="shared" si="39"/>
        <v>0</v>
      </c>
      <c r="J222" s="7">
        <f t="shared" si="40"/>
        <v>0</v>
      </c>
      <c r="K222" s="7">
        <f t="shared" si="37"/>
        <v>0</v>
      </c>
      <c r="L222" s="7">
        <f t="shared" si="35"/>
        <v>0</v>
      </c>
      <c r="M222" s="7">
        <f t="shared" si="38"/>
        <v>0</v>
      </c>
    </row>
    <row r="223" spans="1:13" x14ac:dyDescent="0.3">
      <c r="A223" s="4">
        <v>221</v>
      </c>
      <c r="B223" s="5">
        <f>'Questionnaire '!A232</f>
        <v>0</v>
      </c>
      <c r="C223" s="6">
        <v>0</v>
      </c>
      <c r="D223" s="6">
        <v>1</v>
      </c>
      <c r="E223" s="6">
        <v>2</v>
      </c>
      <c r="F223" s="6">
        <v>3</v>
      </c>
      <c r="G223" s="6">
        <v>4</v>
      </c>
      <c r="I223" s="7">
        <f t="shared" si="39"/>
        <v>0</v>
      </c>
      <c r="J223" s="7">
        <f t="shared" si="40"/>
        <v>0</v>
      </c>
      <c r="K223" s="7">
        <f t="shared" si="37"/>
        <v>0</v>
      </c>
      <c r="L223" s="7">
        <f t="shared" si="35"/>
        <v>0</v>
      </c>
      <c r="M223" s="7">
        <f t="shared" si="38"/>
        <v>0</v>
      </c>
    </row>
    <row r="224" spans="1:13" x14ac:dyDescent="0.3">
      <c r="A224" s="4">
        <v>222</v>
      </c>
      <c r="B224" s="5">
        <f>'Questionnaire '!A233</f>
        <v>0</v>
      </c>
      <c r="C224" s="6">
        <v>4</v>
      </c>
      <c r="D224" s="6">
        <v>3</v>
      </c>
      <c r="E224" s="6">
        <v>2</v>
      </c>
      <c r="F224" s="6">
        <v>1</v>
      </c>
      <c r="G224" s="6">
        <v>0</v>
      </c>
      <c r="I224" s="7">
        <f t="shared" si="39"/>
        <v>0</v>
      </c>
      <c r="J224" s="7">
        <f t="shared" si="40"/>
        <v>0</v>
      </c>
      <c r="K224" s="7">
        <f t="shared" si="37"/>
        <v>0</v>
      </c>
      <c r="L224" s="7">
        <f t="shared" si="35"/>
        <v>0</v>
      </c>
      <c r="M224" s="7">
        <f t="shared" si="38"/>
        <v>0</v>
      </c>
    </row>
    <row r="225" spans="1:21" x14ac:dyDescent="0.3">
      <c r="A225" s="4">
        <v>223</v>
      </c>
      <c r="B225" s="5">
        <f>'Questionnaire '!A234</f>
        <v>0</v>
      </c>
      <c r="C225" s="6">
        <v>0</v>
      </c>
      <c r="D225" s="6">
        <v>1</v>
      </c>
      <c r="E225" s="6">
        <v>2</v>
      </c>
      <c r="F225" s="6">
        <v>3</v>
      </c>
      <c r="G225" s="6">
        <v>4</v>
      </c>
      <c r="I225" s="7">
        <f t="shared" si="39"/>
        <v>0</v>
      </c>
      <c r="J225" s="7">
        <f t="shared" si="40"/>
        <v>0</v>
      </c>
      <c r="K225" s="7">
        <f t="shared" si="37"/>
        <v>0</v>
      </c>
      <c r="L225" s="7">
        <f t="shared" si="35"/>
        <v>0</v>
      </c>
      <c r="M225" s="7">
        <f t="shared" si="38"/>
        <v>0</v>
      </c>
    </row>
    <row r="226" spans="1:21" x14ac:dyDescent="0.3">
      <c r="A226" s="4">
        <v>224</v>
      </c>
      <c r="B226" s="5">
        <f>'Questionnaire '!A235</f>
        <v>0</v>
      </c>
      <c r="C226" s="6">
        <v>0</v>
      </c>
      <c r="D226" s="6">
        <v>1</v>
      </c>
      <c r="E226" s="6">
        <v>2</v>
      </c>
      <c r="F226" s="6">
        <v>3</v>
      </c>
      <c r="G226" s="6">
        <v>4</v>
      </c>
      <c r="I226" s="7">
        <f t="shared" si="39"/>
        <v>0</v>
      </c>
      <c r="J226" s="7">
        <f t="shared" si="40"/>
        <v>0</v>
      </c>
      <c r="K226" s="7">
        <f t="shared" si="37"/>
        <v>0</v>
      </c>
      <c r="L226" s="7">
        <f t="shared" si="35"/>
        <v>0</v>
      </c>
      <c r="M226" s="7">
        <f t="shared" si="38"/>
        <v>0</v>
      </c>
    </row>
    <row r="227" spans="1:21" x14ac:dyDescent="0.3">
      <c r="A227" s="4">
        <v>225</v>
      </c>
      <c r="B227" s="5">
        <f>'Questionnaire '!A236</f>
        <v>0</v>
      </c>
      <c r="C227" s="6">
        <v>0</v>
      </c>
      <c r="D227" s="6">
        <v>1</v>
      </c>
      <c r="E227" s="6">
        <v>2</v>
      </c>
      <c r="F227" s="6">
        <v>3</v>
      </c>
      <c r="G227" s="6">
        <v>4</v>
      </c>
      <c r="I227" s="7">
        <f t="shared" si="39"/>
        <v>0</v>
      </c>
      <c r="J227" s="7">
        <f t="shared" si="40"/>
        <v>0</v>
      </c>
      <c r="K227" s="7">
        <f t="shared" si="37"/>
        <v>0</v>
      </c>
      <c r="L227" s="7">
        <f t="shared" si="35"/>
        <v>0</v>
      </c>
      <c r="M227" s="7">
        <f t="shared" si="38"/>
        <v>0</v>
      </c>
    </row>
    <row r="228" spans="1:21" x14ac:dyDescent="0.3">
      <c r="A228" s="4">
        <v>226</v>
      </c>
      <c r="B228" s="5">
        <f>'Questionnaire '!A237</f>
        <v>0</v>
      </c>
      <c r="C228" s="6">
        <v>0</v>
      </c>
      <c r="D228" s="6">
        <v>1</v>
      </c>
      <c r="E228" s="6">
        <v>2</v>
      </c>
      <c r="F228" s="6">
        <v>3</v>
      </c>
      <c r="G228" s="6">
        <v>4</v>
      </c>
      <c r="I228" s="7">
        <f t="shared" si="39"/>
        <v>0</v>
      </c>
      <c r="J228" s="7">
        <f t="shared" si="40"/>
        <v>0</v>
      </c>
      <c r="K228" s="7">
        <f t="shared" si="37"/>
        <v>0</v>
      </c>
      <c r="L228" s="7">
        <f t="shared" si="35"/>
        <v>0</v>
      </c>
      <c r="M228" s="7">
        <f t="shared" si="38"/>
        <v>0</v>
      </c>
    </row>
    <row r="229" spans="1:21" x14ac:dyDescent="0.3">
      <c r="A229" s="4">
        <v>227</v>
      </c>
      <c r="B229" s="5">
        <f>'Questionnaire '!A238</f>
        <v>0</v>
      </c>
      <c r="C229" s="6">
        <v>0</v>
      </c>
      <c r="D229" s="6">
        <v>1</v>
      </c>
      <c r="E229" s="6">
        <v>2</v>
      </c>
      <c r="F229" s="6">
        <v>3</v>
      </c>
      <c r="G229" s="6">
        <v>4</v>
      </c>
      <c r="I229" s="7">
        <f t="shared" si="39"/>
        <v>0</v>
      </c>
      <c r="J229" s="7">
        <f t="shared" si="40"/>
        <v>0</v>
      </c>
      <c r="K229" s="7">
        <f t="shared" si="37"/>
        <v>0</v>
      </c>
      <c r="L229" s="7">
        <f t="shared" si="35"/>
        <v>0</v>
      </c>
      <c r="M229" s="7">
        <f t="shared" si="38"/>
        <v>0</v>
      </c>
    </row>
    <row r="230" spans="1:21" x14ac:dyDescent="0.3">
      <c r="A230" s="4">
        <v>228</v>
      </c>
      <c r="B230" s="5">
        <f>'Questionnaire '!A239</f>
        <v>0</v>
      </c>
      <c r="C230" s="6">
        <v>4</v>
      </c>
      <c r="D230" s="6">
        <v>3</v>
      </c>
      <c r="E230" s="6">
        <v>2</v>
      </c>
      <c r="F230" s="6">
        <v>1</v>
      </c>
      <c r="G230" s="6">
        <v>0</v>
      </c>
      <c r="I230" s="7">
        <f t="shared" si="39"/>
        <v>0</v>
      </c>
      <c r="J230" s="7">
        <f t="shared" si="40"/>
        <v>0</v>
      </c>
      <c r="K230" s="7">
        <f t="shared" si="37"/>
        <v>0</v>
      </c>
      <c r="L230" s="7">
        <f t="shared" si="35"/>
        <v>0</v>
      </c>
      <c r="M230" s="7">
        <f t="shared" si="38"/>
        <v>0</v>
      </c>
    </row>
    <row r="231" spans="1:21" x14ac:dyDescent="0.3">
      <c r="A231" s="4">
        <v>229</v>
      </c>
      <c r="B231" s="5">
        <f>'Questionnaire '!A240</f>
        <v>0</v>
      </c>
      <c r="C231" s="6">
        <v>4</v>
      </c>
      <c r="D231" s="6">
        <v>3</v>
      </c>
      <c r="E231" s="6">
        <v>2</v>
      </c>
      <c r="F231" s="6">
        <v>1</v>
      </c>
      <c r="G231" s="6">
        <v>0</v>
      </c>
      <c r="I231" s="7">
        <f t="shared" si="39"/>
        <v>0</v>
      </c>
      <c r="J231" s="7">
        <f t="shared" si="40"/>
        <v>0</v>
      </c>
      <c r="K231" s="7">
        <f t="shared" si="37"/>
        <v>0</v>
      </c>
      <c r="L231" s="7">
        <f t="shared" si="35"/>
        <v>0</v>
      </c>
      <c r="M231" s="7">
        <f t="shared" si="38"/>
        <v>0</v>
      </c>
    </row>
    <row r="232" spans="1:21" x14ac:dyDescent="0.3">
      <c r="A232" s="4">
        <v>230</v>
      </c>
      <c r="B232" s="5">
        <f>'Questionnaire '!A241</f>
        <v>0</v>
      </c>
      <c r="C232" s="6">
        <v>0</v>
      </c>
      <c r="D232" s="6">
        <v>1</v>
      </c>
      <c r="E232" s="6">
        <v>2</v>
      </c>
      <c r="F232" s="6">
        <v>3</v>
      </c>
      <c r="G232" s="6">
        <v>4</v>
      </c>
      <c r="I232" s="7">
        <f>IF(B232=$C$2,C232,0)</f>
        <v>0</v>
      </c>
      <c r="J232" s="7">
        <f t="shared" si="40"/>
        <v>0</v>
      </c>
      <c r="K232" s="7">
        <f t="shared" si="37"/>
        <v>0</v>
      </c>
      <c r="L232" s="7">
        <f t="shared" si="35"/>
        <v>0</v>
      </c>
      <c r="M232" s="7">
        <f t="shared" si="38"/>
        <v>0</v>
      </c>
    </row>
    <row r="233" spans="1:21" x14ac:dyDescent="0.3">
      <c r="A233" s="4">
        <v>231</v>
      </c>
      <c r="B233" s="5">
        <f>'Questionnaire '!A242</f>
        <v>0</v>
      </c>
      <c r="C233" s="6">
        <v>4</v>
      </c>
      <c r="D233" s="6">
        <v>3</v>
      </c>
      <c r="E233" s="6">
        <v>2</v>
      </c>
      <c r="F233" s="6">
        <v>1</v>
      </c>
      <c r="G233" s="6">
        <v>0</v>
      </c>
      <c r="I233" s="7">
        <f t="shared" ref="I233:I238" si="41">IF(B233=$C$2,C233,0)</f>
        <v>0</v>
      </c>
      <c r="J233" s="7">
        <f t="shared" si="40"/>
        <v>0</v>
      </c>
      <c r="K233" s="7">
        <f t="shared" si="37"/>
        <v>0</v>
      </c>
      <c r="L233" s="7">
        <f t="shared" si="35"/>
        <v>0</v>
      </c>
      <c r="M233" s="7">
        <f t="shared" si="38"/>
        <v>0</v>
      </c>
    </row>
    <row r="234" spans="1:21" x14ac:dyDescent="0.3">
      <c r="A234" s="4">
        <v>232</v>
      </c>
      <c r="B234" s="5">
        <f>'Questionnaire '!A243</f>
        <v>0</v>
      </c>
      <c r="C234" s="6">
        <v>0</v>
      </c>
      <c r="D234" s="6">
        <v>1</v>
      </c>
      <c r="E234" s="6">
        <v>2</v>
      </c>
      <c r="F234" s="6">
        <v>3</v>
      </c>
      <c r="G234" s="6">
        <v>4</v>
      </c>
      <c r="I234" s="7">
        <f t="shared" si="41"/>
        <v>0</v>
      </c>
      <c r="J234" s="7">
        <f t="shared" si="40"/>
        <v>0</v>
      </c>
      <c r="K234" s="7">
        <f t="shared" si="37"/>
        <v>0</v>
      </c>
      <c r="L234" s="7">
        <f t="shared" si="35"/>
        <v>0</v>
      </c>
      <c r="M234" s="7">
        <f t="shared" si="38"/>
        <v>0</v>
      </c>
    </row>
    <row r="235" spans="1:21" x14ac:dyDescent="0.3">
      <c r="A235" s="4">
        <v>233</v>
      </c>
      <c r="B235" s="5">
        <f>'Questionnaire '!A244</f>
        <v>0</v>
      </c>
      <c r="C235" s="6">
        <v>0</v>
      </c>
      <c r="D235" s="6">
        <v>1</v>
      </c>
      <c r="E235" s="6">
        <v>2</v>
      </c>
      <c r="F235" s="6">
        <v>3</v>
      </c>
      <c r="G235" s="6">
        <v>4</v>
      </c>
      <c r="I235" s="7">
        <f t="shared" si="41"/>
        <v>0</v>
      </c>
      <c r="J235" s="7">
        <f t="shared" si="40"/>
        <v>0</v>
      </c>
      <c r="K235" s="7">
        <f t="shared" si="37"/>
        <v>0</v>
      </c>
      <c r="L235" s="7">
        <f t="shared" si="35"/>
        <v>0</v>
      </c>
      <c r="M235" s="7">
        <f t="shared" si="38"/>
        <v>0</v>
      </c>
    </row>
    <row r="236" spans="1:21" x14ac:dyDescent="0.3">
      <c r="A236" s="4">
        <v>234</v>
      </c>
      <c r="B236" s="5">
        <f>'Questionnaire '!A245</f>
        <v>0</v>
      </c>
      <c r="C236" s="6">
        <v>4</v>
      </c>
      <c r="D236" s="6">
        <v>3</v>
      </c>
      <c r="E236" s="6">
        <v>2</v>
      </c>
      <c r="F236" s="6">
        <v>1</v>
      </c>
      <c r="G236" s="6">
        <v>0</v>
      </c>
      <c r="I236" s="7">
        <f t="shared" si="41"/>
        <v>0</v>
      </c>
      <c r="J236" s="7">
        <f t="shared" si="40"/>
        <v>0</v>
      </c>
      <c r="K236" s="7">
        <f t="shared" si="37"/>
        <v>0</v>
      </c>
      <c r="L236" s="7">
        <f t="shared" si="35"/>
        <v>0</v>
      </c>
      <c r="M236" s="7">
        <f t="shared" si="38"/>
        <v>0</v>
      </c>
      <c r="O236" s="8"/>
      <c r="P236" s="8"/>
      <c r="Q236" s="8"/>
    </row>
    <row r="237" spans="1:21" x14ac:dyDescent="0.3">
      <c r="A237" s="4">
        <v>235</v>
      </c>
      <c r="B237" s="5">
        <f>'Questionnaire '!A246</f>
        <v>0</v>
      </c>
      <c r="C237" s="6">
        <v>0</v>
      </c>
      <c r="D237" s="6">
        <v>1</v>
      </c>
      <c r="E237" s="6">
        <v>2</v>
      </c>
      <c r="F237" s="6">
        <v>3</v>
      </c>
      <c r="G237" s="6">
        <v>4</v>
      </c>
      <c r="I237" s="7">
        <f t="shared" si="41"/>
        <v>0</v>
      </c>
      <c r="J237" s="7">
        <f t="shared" si="40"/>
        <v>0</v>
      </c>
      <c r="K237" s="7">
        <f t="shared" si="37"/>
        <v>0</v>
      </c>
      <c r="L237" s="7">
        <f t="shared" si="35"/>
        <v>0</v>
      </c>
      <c r="M237" s="7">
        <f t="shared" si="38"/>
        <v>0</v>
      </c>
      <c r="O237" s="8"/>
      <c r="P237" s="8"/>
      <c r="Q237" s="8"/>
      <c r="S237" s="8"/>
      <c r="T237" s="8"/>
      <c r="U237" s="8"/>
    </row>
    <row r="238" spans="1:21" x14ac:dyDescent="0.3">
      <c r="A238" s="4">
        <v>236</v>
      </c>
      <c r="B238" s="5">
        <f>'Questionnaire '!A247</f>
        <v>0</v>
      </c>
      <c r="C238" s="6">
        <v>4</v>
      </c>
      <c r="D238" s="6">
        <v>3</v>
      </c>
      <c r="E238" s="6">
        <v>2</v>
      </c>
      <c r="F238" s="6">
        <v>1</v>
      </c>
      <c r="G238" s="6">
        <v>0</v>
      </c>
      <c r="I238" s="7">
        <f t="shared" si="41"/>
        <v>0</v>
      </c>
      <c r="J238" s="7">
        <f t="shared" si="40"/>
        <v>0</v>
      </c>
      <c r="K238" s="7">
        <f t="shared" si="37"/>
        <v>0</v>
      </c>
      <c r="L238" s="7">
        <f t="shared" si="35"/>
        <v>0</v>
      </c>
      <c r="M238" s="7">
        <f t="shared" si="38"/>
        <v>0</v>
      </c>
      <c r="O238" s="8"/>
      <c r="P238" s="8"/>
      <c r="Q238" s="8"/>
      <c r="S238" s="8"/>
      <c r="T238" s="8"/>
      <c r="U238" s="8"/>
    </row>
    <row r="239" spans="1:21" x14ac:dyDescent="0.3">
      <c r="A239" s="4">
        <v>237</v>
      </c>
      <c r="B239" s="5">
        <f>'Questionnaire '!A248</f>
        <v>0</v>
      </c>
      <c r="C239" s="6">
        <v>0</v>
      </c>
      <c r="D239" s="6">
        <v>1</v>
      </c>
      <c r="E239" s="6">
        <v>2</v>
      </c>
      <c r="F239" s="6">
        <v>3</v>
      </c>
      <c r="G239" s="6">
        <v>4</v>
      </c>
      <c r="I239" s="7">
        <f>IF(B239=$C$2,C239,0)</f>
        <v>0</v>
      </c>
      <c r="J239" s="7">
        <f t="shared" si="40"/>
        <v>0</v>
      </c>
      <c r="K239" s="7">
        <f t="shared" si="37"/>
        <v>0</v>
      </c>
      <c r="L239" s="7">
        <f t="shared" si="35"/>
        <v>0</v>
      </c>
      <c r="M239" s="7">
        <f t="shared" si="38"/>
        <v>0</v>
      </c>
      <c r="O239" s="8"/>
      <c r="P239" s="8"/>
      <c r="Q239" s="8"/>
      <c r="S239" s="8"/>
      <c r="T239" s="8"/>
      <c r="U239" s="8"/>
    </row>
    <row r="240" spans="1:21" x14ac:dyDescent="0.3">
      <c r="A240" s="4">
        <v>238</v>
      </c>
      <c r="B240" s="5">
        <f>'Questionnaire '!A249</f>
        <v>0</v>
      </c>
      <c r="C240" s="6">
        <v>4</v>
      </c>
      <c r="D240" s="6">
        <v>3</v>
      </c>
      <c r="E240" s="6">
        <v>2</v>
      </c>
      <c r="F240" s="6">
        <v>1</v>
      </c>
      <c r="G240" s="6">
        <v>0</v>
      </c>
      <c r="I240" s="7">
        <f>IF(B240=$C$2,C240,0)</f>
        <v>0</v>
      </c>
      <c r="J240" s="7">
        <f t="shared" si="40"/>
        <v>0</v>
      </c>
      <c r="K240" s="7">
        <f t="shared" si="37"/>
        <v>0</v>
      </c>
      <c r="L240" s="7">
        <f t="shared" si="35"/>
        <v>0</v>
      </c>
      <c r="M240" s="7">
        <f t="shared" si="38"/>
        <v>0</v>
      </c>
      <c r="O240" s="8"/>
      <c r="P240" s="8"/>
      <c r="Q240" s="8"/>
      <c r="S240" s="8"/>
      <c r="T240" s="8"/>
      <c r="U240" s="8"/>
    </row>
    <row r="241" spans="1:33" x14ac:dyDescent="0.3">
      <c r="A241" s="4">
        <v>239</v>
      </c>
      <c r="B241" s="5">
        <f>'Questionnaire '!A250</f>
        <v>0</v>
      </c>
      <c r="C241" s="6">
        <v>0</v>
      </c>
      <c r="D241" s="6">
        <v>1</v>
      </c>
      <c r="E241" s="6">
        <v>2</v>
      </c>
      <c r="F241" s="6">
        <v>3</v>
      </c>
      <c r="G241" s="6">
        <v>4</v>
      </c>
      <c r="I241" s="7">
        <f>IF(B241=$C$2,C241,0)</f>
        <v>0</v>
      </c>
      <c r="J241" s="7">
        <f t="shared" si="40"/>
        <v>0</v>
      </c>
      <c r="K241" s="7">
        <f t="shared" si="37"/>
        <v>0</v>
      </c>
      <c r="L241" s="7">
        <f t="shared" si="35"/>
        <v>0</v>
      </c>
      <c r="M241" s="7">
        <f t="shared" si="38"/>
        <v>0</v>
      </c>
      <c r="O241" s="8"/>
      <c r="P241" s="8"/>
      <c r="Q241" s="8"/>
      <c r="S241" s="8"/>
      <c r="T241" s="8"/>
      <c r="U241" s="8"/>
    </row>
    <row r="242" spans="1:33" x14ac:dyDescent="0.3">
      <c r="A242" s="4">
        <v>240</v>
      </c>
      <c r="B242" s="5">
        <f>'Questionnaire '!A251</f>
        <v>0</v>
      </c>
      <c r="C242" s="6">
        <v>0</v>
      </c>
      <c r="D242" s="6">
        <v>1</v>
      </c>
      <c r="E242" s="6">
        <v>2</v>
      </c>
      <c r="F242" s="6">
        <v>3</v>
      </c>
      <c r="G242" s="6">
        <v>4</v>
      </c>
      <c r="I242" s="7">
        <f>IF(B242=$C$2,C242,0)</f>
        <v>0</v>
      </c>
      <c r="J242" s="7">
        <f>IF(B242=$D$2,D242,0)</f>
        <v>0</v>
      </c>
      <c r="K242" s="7">
        <f t="shared" si="37"/>
        <v>0</v>
      </c>
      <c r="L242" s="7">
        <f>IF(B242=$F$2,F242,0)</f>
        <v>0</v>
      </c>
      <c r="M242" s="7">
        <f t="shared" si="38"/>
        <v>0</v>
      </c>
      <c r="O242" s="8"/>
      <c r="P242" s="8"/>
      <c r="Q242" s="8"/>
      <c r="S242" s="8"/>
      <c r="T242" s="8"/>
      <c r="U242" s="8"/>
      <c r="X242" s="8"/>
      <c r="Y242" s="8"/>
      <c r="Z242" s="8"/>
      <c r="AA242" s="8"/>
      <c r="AB242" s="8"/>
      <c r="AC242" s="8"/>
      <c r="AD242" s="8"/>
      <c r="AE242" s="8"/>
      <c r="AF242" s="8"/>
      <c r="AG242" s="8"/>
    </row>
    <row r="243" spans="1:33" s="8" customFormat="1" x14ac:dyDescent="0.3"/>
    <row r="244" spans="1:33" s="8" customFormat="1" x14ac:dyDescent="0.3"/>
    <row r="245" spans="1:33" s="8" customFormat="1" x14ac:dyDescent="0.3"/>
    <row r="246" spans="1:33" s="8" customFormat="1" x14ac:dyDescent="0.3"/>
    <row r="247" spans="1:33" s="8" customFormat="1" x14ac:dyDescent="0.3"/>
    <row r="248" spans="1:33" s="8" customFormat="1" x14ac:dyDescent="0.3"/>
    <row r="249" spans="1:33" s="8" customFormat="1" x14ac:dyDescent="0.3"/>
    <row r="250" spans="1:33" s="8" customFormat="1" x14ac:dyDescent="0.3"/>
    <row r="251" spans="1:33" s="8" customFormat="1" x14ac:dyDescent="0.3"/>
    <row r="252" spans="1:33" s="8" customFormat="1" x14ac:dyDescent="0.3"/>
    <row r="253" spans="1:33" s="8" customFormat="1" x14ac:dyDescent="0.3"/>
    <row r="254" spans="1:33" s="8" customFormat="1" x14ac:dyDescent="0.3"/>
    <row r="255" spans="1:33" s="8" customFormat="1" x14ac:dyDescent="0.3"/>
    <row r="256" spans="1:33" s="8" customFormat="1" x14ac:dyDescent="0.3"/>
    <row r="257" s="8" customFormat="1" x14ac:dyDescent="0.3"/>
    <row r="258" s="8" customFormat="1" x14ac:dyDescent="0.3"/>
    <row r="259" s="8" customFormat="1" x14ac:dyDescent="0.3"/>
    <row r="260" s="8" customFormat="1" x14ac:dyDescent="0.3"/>
    <row r="261" s="8" customFormat="1" x14ac:dyDescent="0.3"/>
    <row r="262" s="8" customFormat="1" x14ac:dyDescent="0.3"/>
    <row r="263" s="8" customFormat="1" x14ac:dyDescent="0.3"/>
    <row r="264" s="8" customFormat="1" x14ac:dyDescent="0.3"/>
    <row r="265" s="8" customFormat="1" x14ac:dyDescent="0.3"/>
    <row r="266" s="8" customFormat="1" x14ac:dyDescent="0.3"/>
    <row r="267" s="8" customFormat="1" x14ac:dyDescent="0.3"/>
    <row r="268" s="8" customFormat="1" x14ac:dyDescent="0.3"/>
    <row r="269" s="8" customFormat="1" x14ac:dyDescent="0.3"/>
    <row r="270" s="8" customFormat="1" x14ac:dyDescent="0.3"/>
    <row r="271" s="8" customFormat="1" x14ac:dyDescent="0.3"/>
    <row r="272" s="8" customFormat="1" x14ac:dyDescent="0.3"/>
    <row r="273" s="8" customFormat="1" x14ac:dyDescent="0.3"/>
    <row r="274" s="8" customFormat="1" x14ac:dyDescent="0.3"/>
    <row r="275" s="8" customFormat="1" x14ac:dyDescent="0.3"/>
    <row r="276" s="8" customFormat="1" x14ac:dyDescent="0.3"/>
    <row r="277" s="8" customFormat="1" x14ac:dyDescent="0.3"/>
    <row r="278" s="8" customFormat="1" x14ac:dyDescent="0.3"/>
    <row r="279" s="8" customFormat="1" x14ac:dyDescent="0.3"/>
    <row r="280" s="8" customFormat="1" x14ac:dyDescent="0.3"/>
    <row r="281" s="8" customFormat="1" x14ac:dyDescent="0.3"/>
    <row r="282" s="8" customFormat="1" x14ac:dyDescent="0.3"/>
    <row r="283" s="8" customFormat="1" x14ac:dyDescent="0.3"/>
    <row r="284" s="8" customFormat="1" x14ac:dyDescent="0.3"/>
    <row r="285" s="8" customFormat="1" x14ac:dyDescent="0.3"/>
    <row r="286" s="8" customFormat="1" x14ac:dyDescent="0.3"/>
    <row r="287" s="8" customFormat="1" x14ac:dyDescent="0.3"/>
    <row r="288" s="8" customFormat="1" x14ac:dyDescent="0.3"/>
    <row r="289" s="8" customFormat="1" x14ac:dyDescent="0.3"/>
    <row r="290" s="8" customFormat="1" x14ac:dyDescent="0.3"/>
    <row r="291" s="8" customFormat="1" x14ac:dyDescent="0.3"/>
    <row r="292" s="8" customFormat="1" x14ac:dyDescent="0.3"/>
    <row r="293" s="8" customFormat="1" x14ac:dyDescent="0.3"/>
    <row r="294" s="8" customFormat="1" x14ac:dyDescent="0.3"/>
    <row r="295" s="8" customFormat="1" x14ac:dyDescent="0.3"/>
    <row r="296" s="8" customFormat="1" x14ac:dyDescent="0.3"/>
    <row r="297" s="8" customFormat="1" x14ac:dyDescent="0.3"/>
    <row r="298" s="8" customFormat="1" x14ac:dyDescent="0.3"/>
    <row r="299" s="8" customFormat="1" x14ac:dyDescent="0.3"/>
    <row r="300" s="8" customFormat="1" x14ac:dyDescent="0.3"/>
    <row r="301" s="8" customFormat="1" x14ac:dyDescent="0.3"/>
    <row r="302" s="8" customFormat="1" x14ac:dyDescent="0.3"/>
    <row r="303" s="8" customFormat="1" x14ac:dyDescent="0.3"/>
    <row r="304" s="8" customFormat="1" x14ac:dyDescent="0.3"/>
    <row r="305" s="8" customFormat="1" x14ac:dyDescent="0.3"/>
    <row r="306" s="8" customFormat="1" x14ac:dyDescent="0.3"/>
    <row r="307" s="8" customFormat="1" x14ac:dyDescent="0.3"/>
    <row r="308" s="8" customFormat="1" x14ac:dyDescent="0.3"/>
    <row r="309" s="8" customFormat="1" x14ac:dyDescent="0.3"/>
    <row r="310" s="8" customFormat="1" x14ac:dyDescent="0.3"/>
    <row r="311" s="8" customFormat="1" x14ac:dyDescent="0.3"/>
    <row r="312" s="8" customFormat="1" x14ac:dyDescent="0.3"/>
    <row r="313" s="8" customFormat="1" x14ac:dyDescent="0.3"/>
    <row r="314" s="8" customFormat="1" x14ac:dyDescent="0.3"/>
    <row r="315" s="8" customFormat="1" x14ac:dyDescent="0.3"/>
    <row r="316" s="8" customFormat="1" x14ac:dyDescent="0.3"/>
    <row r="317" s="8" customFormat="1" x14ac:dyDescent="0.3"/>
    <row r="318" s="8" customFormat="1" x14ac:dyDescent="0.3"/>
    <row r="319" s="8" customFormat="1" x14ac:dyDescent="0.3"/>
    <row r="320" s="8" customFormat="1" x14ac:dyDescent="0.3"/>
    <row r="321" s="8" customFormat="1" x14ac:dyDescent="0.3"/>
    <row r="322" s="8" customFormat="1" x14ac:dyDescent="0.3"/>
    <row r="323" s="8" customFormat="1" x14ac:dyDescent="0.3"/>
    <row r="324" s="8" customFormat="1" x14ac:dyDescent="0.3"/>
    <row r="325" s="8" customFormat="1" x14ac:dyDescent="0.3"/>
    <row r="326" s="8" customFormat="1" x14ac:dyDescent="0.3"/>
    <row r="327" s="8" customFormat="1" x14ac:dyDescent="0.3"/>
    <row r="328" s="8" customFormat="1" x14ac:dyDescent="0.3"/>
    <row r="329" s="8" customFormat="1" x14ac:dyDescent="0.3"/>
    <row r="330" s="8" customFormat="1" x14ac:dyDescent="0.3"/>
    <row r="331" s="8" customFormat="1" x14ac:dyDescent="0.3"/>
    <row r="332" s="8" customFormat="1" x14ac:dyDescent="0.3"/>
    <row r="333" s="8" customFormat="1" x14ac:dyDescent="0.3"/>
    <row r="334" s="8" customFormat="1" x14ac:dyDescent="0.3"/>
    <row r="335" s="8" customFormat="1" x14ac:dyDescent="0.3"/>
    <row r="336" s="8" customFormat="1" x14ac:dyDescent="0.3"/>
    <row r="337" s="8" customFormat="1" x14ac:dyDescent="0.3"/>
    <row r="338" s="8" customFormat="1" x14ac:dyDescent="0.3"/>
    <row r="339" s="8" customFormat="1" x14ac:dyDescent="0.3"/>
    <row r="340" s="8" customFormat="1" x14ac:dyDescent="0.3"/>
    <row r="341" s="8" customFormat="1" x14ac:dyDescent="0.3"/>
    <row r="342" s="8" customFormat="1" x14ac:dyDescent="0.3"/>
    <row r="343" s="8" customFormat="1" x14ac:dyDescent="0.3"/>
    <row r="344" s="8" customFormat="1" x14ac:dyDescent="0.3"/>
    <row r="345" s="8" customFormat="1" x14ac:dyDescent="0.3"/>
    <row r="346" s="8" customFormat="1" x14ac:dyDescent="0.3"/>
    <row r="347" s="8" customFormat="1" x14ac:dyDescent="0.3"/>
    <row r="348" s="8" customFormat="1" x14ac:dyDescent="0.3"/>
    <row r="349" s="8" customFormat="1" x14ac:dyDescent="0.3"/>
    <row r="350" s="8" customFormat="1" x14ac:dyDescent="0.3"/>
    <row r="351" s="8" customFormat="1" x14ac:dyDescent="0.3"/>
    <row r="352" s="8" customFormat="1" x14ac:dyDescent="0.3"/>
    <row r="353" s="8" customFormat="1" x14ac:dyDescent="0.3"/>
    <row r="354" s="8" customFormat="1" x14ac:dyDescent="0.3"/>
    <row r="355" s="8" customFormat="1" x14ac:dyDescent="0.3"/>
    <row r="356" s="8" customFormat="1" x14ac:dyDescent="0.3"/>
    <row r="357" s="8" customFormat="1" x14ac:dyDescent="0.3"/>
    <row r="358" s="8" customFormat="1" x14ac:dyDescent="0.3"/>
    <row r="359" s="8" customFormat="1" x14ac:dyDescent="0.3"/>
    <row r="360" s="8" customFormat="1" x14ac:dyDescent="0.3"/>
    <row r="361" s="8" customFormat="1" x14ac:dyDescent="0.3"/>
    <row r="362" s="8" customFormat="1" x14ac:dyDescent="0.3"/>
    <row r="363" s="8" customFormat="1" x14ac:dyDescent="0.3"/>
    <row r="364" s="8" customFormat="1" x14ac:dyDescent="0.3"/>
    <row r="365" s="8" customFormat="1" x14ac:dyDescent="0.3"/>
    <row r="366" s="8" customFormat="1" x14ac:dyDescent="0.3"/>
    <row r="367" s="8" customFormat="1" x14ac:dyDescent="0.3"/>
    <row r="368" s="8" customFormat="1" x14ac:dyDescent="0.3"/>
    <row r="369" s="8" customFormat="1" x14ac:dyDescent="0.3"/>
    <row r="370" s="8" customFormat="1" x14ac:dyDescent="0.3"/>
    <row r="371" s="8" customFormat="1" x14ac:dyDescent="0.3"/>
    <row r="372" s="8" customFormat="1" x14ac:dyDescent="0.3"/>
    <row r="373" s="8" customFormat="1" x14ac:dyDescent="0.3"/>
    <row r="374" s="8" customFormat="1" x14ac:dyDescent="0.3"/>
    <row r="375" s="8" customFormat="1" x14ac:dyDescent="0.3"/>
    <row r="376" s="8" customFormat="1" x14ac:dyDescent="0.3"/>
    <row r="377" s="8" customFormat="1" x14ac:dyDescent="0.3"/>
    <row r="378" s="8" customFormat="1" x14ac:dyDescent="0.3"/>
    <row r="379" s="8" customFormat="1" x14ac:dyDescent="0.3"/>
    <row r="380" s="8" customFormat="1" x14ac:dyDescent="0.3"/>
    <row r="381" s="8" customFormat="1" x14ac:dyDescent="0.3"/>
    <row r="382" s="8" customFormat="1" x14ac:dyDescent="0.3"/>
    <row r="383" s="8" customFormat="1" x14ac:dyDescent="0.3"/>
    <row r="384" s="8" customFormat="1" x14ac:dyDescent="0.3"/>
    <row r="385" s="8" customFormat="1" x14ac:dyDescent="0.3"/>
    <row r="386" s="8" customFormat="1" x14ac:dyDescent="0.3"/>
    <row r="387" s="8" customFormat="1" x14ac:dyDescent="0.3"/>
    <row r="388" s="8" customFormat="1" x14ac:dyDescent="0.3"/>
    <row r="389" s="8" customFormat="1" x14ac:dyDescent="0.3"/>
    <row r="390" s="8" customFormat="1" x14ac:dyDescent="0.3"/>
    <row r="391" s="8" customFormat="1" x14ac:dyDescent="0.3"/>
    <row r="392" s="8" customFormat="1" x14ac:dyDescent="0.3"/>
    <row r="393" s="8" customFormat="1" x14ac:dyDescent="0.3"/>
    <row r="394" s="8" customFormat="1" x14ac:dyDescent="0.3"/>
    <row r="395" s="8" customFormat="1" x14ac:dyDescent="0.3"/>
    <row r="396" s="8" customFormat="1" x14ac:dyDescent="0.3"/>
    <row r="397" s="8" customFormat="1" x14ac:dyDescent="0.3"/>
    <row r="398" s="8" customFormat="1" x14ac:dyDescent="0.3"/>
    <row r="399" s="8" customFormat="1" x14ac:dyDescent="0.3"/>
    <row r="400" s="8" customFormat="1" x14ac:dyDescent="0.3"/>
    <row r="401" spans="15:33" s="8" customFormat="1" x14ac:dyDescent="0.3"/>
    <row r="402" spans="15:33" s="8" customFormat="1" x14ac:dyDescent="0.3">
      <c r="O402"/>
      <c r="P402"/>
      <c r="Q402"/>
    </row>
    <row r="403" spans="15:33" s="8" customFormat="1" x14ac:dyDescent="0.3">
      <c r="O403"/>
      <c r="P403"/>
      <c r="Q403"/>
      <c r="S403"/>
      <c r="T403"/>
      <c r="U403"/>
    </row>
    <row r="404" spans="15:33" s="8" customFormat="1" x14ac:dyDescent="0.3">
      <c r="O404"/>
      <c r="P404"/>
      <c r="Q404"/>
      <c r="S404"/>
      <c r="T404"/>
      <c r="U404"/>
    </row>
    <row r="405" spans="15:33" s="8" customFormat="1" x14ac:dyDescent="0.3">
      <c r="O405"/>
      <c r="P405"/>
      <c r="Q405"/>
      <c r="S405"/>
      <c r="T405"/>
      <c r="U405"/>
    </row>
    <row r="406" spans="15:33" s="8" customFormat="1" x14ac:dyDescent="0.3">
      <c r="O406"/>
      <c r="P406"/>
      <c r="Q406"/>
      <c r="S406"/>
      <c r="T406"/>
      <c r="U406"/>
    </row>
    <row r="407" spans="15:33" s="8" customFormat="1" x14ac:dyDescent="0.3">
      <c r="O407"/>
      <c r="P407"/>
      <c r="Q407"/>
      <c r="S407"/>
      <c r="T407"/>
      <c r="U407"/>
    </row>
    <row r="408" spans="15:33" s="8" customFormat="1" x14ac:dyDescent="0.3">
      <c r="O408"/>
      <c r="P408"/>
      <c r="Q408"/>
      <c r="S408"/>
      <c r="T408"/>
      <c r="U408"/>
      <c r="X408"/>
      <c r="Y408"/>
      <c r="Z408"/>
      <c r="AA408"/>
      <c r="AB408"/>
      <c r="AC408"/>
      <c r="AD408"/>
      <c r="AE408"/>
      <c r="AF408"/>
      <c r="AG408"/>
    </row>
  </sheetData>
  <mergeCells count="30">
    <mergeCell ref="O46:P46"/>
    <mergeCell ref="T58:U58"/>
    <mergeCell ref="D1:E1"/>
    <mergeCell ref="P37:Q37"/>
    <mergeCell ref="T37:U37"/>
    <mergeCell ref="P45:Q45"/>
    <mergeCell ref="T45:U45"/>
    <mergeCell ref="P50:Q50"/>
    <mergeCell ref="T52:U52"/>
    <mergeCell ref="P56:Q56"/>
    <mergeCell ref="X6:Y6"/>
    <mergeCell ref="Z6:AA6"/>
    <mergeCell ref="AB6:AC6"/>
    <mergeCell ref="AD6:AE6"/>
    <mergeCell ref="AF6:AG6"/>
    <mergeCell ref="X7:Y7"/>
    <mergeCell ref="Z7:AA7"/>
    <mergeCell ref="AB7:AC7"/>
    <mergeCell ref="AD7:AE7"/>
    <mergeCell ref="AF7:AG7"/>
    <mergeCell ref="X5:Y5"/>
    <mergeCell ref="Z5:AA5"/>
    <mergeCell ref="AB5:AC5"/>
    <mergeCell ref="AD5:AE5"/>
    <mergeCell ref="AF5:AG5"/>
    <mergeCell ref="X60:Y60"/>
    <mergeCell ref="Z60:AA60"/>
    <mergeCell ref="AB60:AC60"/>
    <mergeCell ref="AD60:AE60"/>
    <mergeCell ref="AF60:AG60"/>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4:U665"/>
  <sheetViews>
    <sheetView topLeftCell="A643" zoomScale="96" zoomScaleNormal="96" workbookViewId="0">
      <selection activeCell="U656" sqref="U656"/>
    </sheetView>
  </sheetViews>
  <sheetFormatPr baseColWidth="10" defaultColWidth="8.88671875" defaultRowHeight="14.4" x14ac:dyDescent="0.3"/>
  <cols>
    <col min="5" max="5" width="10.77734375" customWidth="1"/>
  </cols>
  <sheetData>
    <row r="4" spans="4:19" ht="15" thickBot="1" x14ac:dyDescent="0.35"/>
    <row r="5" spans="4:19" ht="18.600000000000001" thickBot="1" x14ac:dyDescent="0.4">
      <c r="I5" s="258" t="s">
        <v>338</v>
      </c>
      <c r="J5" s="259"/>
      <c r="K5" s="259"/>
      <c r="L5" s="259"/>
      <c r="M5" s="260"/>
    </row>
    <row r="8" spans="4:19" ht="15" thickBot="1" x14ac:dyDescent="0.35"/>
    <row r="9" spans="4:19" x14ac:dyDescent="0.3">
      <c r="D9" s="229" t="s">
        <v>438</v>
      </c>
      <c r="E9" s="230"/>
      <c r="F9" s="230"/>
      <c r="G9" s="230"/>
      <c r="H9" s="230"/>
      <c r="I9" s="230"/>
      <c r="J9" s="230"/>
      <c r="K9" s="230"/>
      <c r="L9" s="230"/>
      <c r="M9" s="230"/>
      <c r="N9" s="230"/>
      <c r="O9" s="230"/>
      <c r="P9" s="230"/>
      <c r="Q9" s="230"/>
      <c r="R9" s="230"/>
      <c r="S9" s="231"/>
    </row>
    <row r="10" spans="4:19" x14ac:dyDescent="0.3">
      <c r="D10" s="232"/>
      <c r="E10" s="233"/>
      <c r="F10" s="233"/>
      <c r="G10" s="233"/>
      <c r="H10" s="233"/>
      <c r="I10" s="233"/>
      <c r="J10" s="233"/>
      <c r="K10" s="233"/>
      <c r="L10" s="233"/>
      <c r="M10" s="233"/>
      <c r="N10" s="233"/>
      <c r="O10" s="233"/>
      <c r="P10" s="233"/>
      <c r="Q10" s="233"/>
      <c r="R10" s="233"/>
      <c r="S10" s="234"/>
    </row>
    <row r="11" spans="4:19" x14ac:dyDescent="0.3">
      <c r="D11" s="232"/>
      <c r="E11" s="233"/>
      <c r="F11" s="233"/>
      <c r="G11" s="233"/>
      <c r="H11" s="233"/>
      <c r="I11" s="233"/>
      <c r="J11" s="233"/>
      <c r="K11" s="233"/>
      <c r="L11" s="233"/>
      <c r="M11" s="233"/>
      <c r="N11" s="233"/>
      <c r="O11" s="233"/>
      <c r="P11" s="233"/>
      <c r="Q11" s="233"/>
      <c r="R11" s="233"/>
      <c r="S11" s="234"/>
    </row>
    <row r="12" spans="4:19" x14ac:dyDescent="0.3">
      <c r="D12" s="232"/>
      <c r="E12" s="233"/>
      <c r="F12" s="233"/>
      <c r="G12" s="233"/>
      <c r="H12" s="233"/>
      <c r="I12" s="233"/>
      <c r="J12" s="233"/>
      <c r="K12" s="233"/>
      <c r="L12" s="233"/>
      <c r="M12" s="233"/>
      <c r="N12" s="233"/>
      <c r="O12" s="233"/>
      <c r="P12" s="233"/>
      <c r="Q12" s="233"/>
      <c r="R12" s="233"/>
      <c r="S12" s="234"/>
    </row>
    <row r="13" spans="4:19" x14ac:dyDescent="0.3">
      <c r="D13" s="232"/>
      <c r="E13" s="233"/>
      <c r="F13" s="233"/>
      <c r="G13" s="233"/>
      <c r="H13" s="233"/>
      <c r="I13" s="233"/>
      <c r="J13" s="233"/>
      <c r="K13" s="233"/>
      <c r="L13" s="233"/>
      <c r="M13" s="233"/>
      <c r="N13" s="233"/>
      <c r="O13" s="233"/>
      <c r="P13" s="233"/>
      <c r="Q13" s="233"/>
      <c r="R13" s="233"/>
      <c r="S13" s="234"/>
    </row>
    <row r="14" spans="4:19" x14ac:dyDescent="0.3">
      <c r="D14" s="232"/>
      <c r="E14" s="233"/>
      <c r="F14" s="233"/>
      <c r="G14" s="233"/>
      <c r="H14" s="233"/>
      <c r="I14" s="233"/>
      <c r="J14" s="233"/>
      <c r="K14" s="233"/>
      <c r="L14" s="233"/>
      <c r="M14" s="233"/>
      <c r="N14" s="233"/>
      <c r="O14" s="233"/>
      <c r="P14" s="233"/>
      <c r="Q14" s="233"/>
      <c r="R14" s="233"/>
      <c r="S14" s="234"/>
    </row>
    <row r="15" spans="4:19" x14ac:dyDescent="0.3">
      <c r="D15" s="232"/>
      <c r="E15" s="233"/>
      <c r="F15" s="233"/>
      <c r="G15" s="233"/>
      <c r="H15" s="233"/>
      <c r="I15" s="233"/>
      <c r="J15" s="233"/>
      <c r="K15" s="233"/>
      <c r="L15" s="233"/>
      <c r="M15" s="233"/>
      <c r="N15" s="233"/>
      <c r="O15" s="233"/>
      <c r="P15" s="233"/>
      <c r="Q15" s="233"/>
      <c r="R15" s="233"/>
      <c r="S15" s="234"/>
    </row>
    <row r="16" spans="4:19" x14ac:dyDescent="0.3">
      <c r="D16" s="232"/>
      <c r="E16" s="233"/>
      <c r="F16" s="233"/>
      <c r="G16" s="233"/>
      <c r="H16" s="233"/>
      <c r="I16" s="233"/>
      <c r="J16" s="233"/>
      <c r="K16" s="233"/>
      <c r="L16" s="233"/>
      <c r="M16" s="233"/>
      <c r="N16" s="233"/>
      <c r="O16" s="233"/>
      <c r="P16" s="233"/>
      <c r="Q16" s="233"/>
      <c r="R16" s="233"/>
      <c r="S16" s="234"/>
    </row>
    <row r="17" spans="2:19" x14ac:dyDescent="0.3">
      <c r="D17" s="232"/>
      <c r="E17" s="233"/>
      <c r="F17" s="233"/>
      <c r="G17" s="233"/>
      <c r="H17" s="233"/>
      <c r="I17" s="233"/>
      <c r="J17" s="233"/>
      <c r="K17" s="233"/>
      <c r="L17" s="233"/>
      <c r="M17" s="233"/>
      <c r="N17" s="233"/>
      <c r="O17" s="233"/>
      <c r="P17" s="233"/>
      <c r="Q17" s="233"/>
      <c r="R17" s="233"/>
      <c r="S17" s="234"/>
    </row>
    <row r="18" spans="2:19" x14ac:dyDescent="0.3">
      <c r="D18" s="232"/>
      <c r="E18" s="233"/>
      <c r="F18" s="233"/>
      <c r="G18" s="233"/>
      <c r="H18" s="233"/>
      <c r="I18" s="233"/>
      <c r="J18" s="233"/>
      <c r="K18" s="233"/>
      <c r="L18" s="233"/>
      <c r="M18" s="233"/>
      <c r="N18" s="233"/>
      <c r="O18" s="233"/>
      <c r="P18" s="233"/>
      <c r="Q18" s="233"/>
      <c r="R18" s="233"/>
      <c r="S18" s="234"/>
    </row>
    <row r="19" spans="2:19" x14ac:dyDescent="0.3">
      <c r="D19" s="232"/>
      <c r="E19" s="233"/>
      <c r="F19" s="233"/>
      <c r="G19" s="233"/>
      <c r="H19" s="233"/>
      <c r="I19" s="233"/>
      <c r="J19" s="233"/>
      <c r="K19" s="233"/>
      <c r="L19" s="233"/>
      <c r="M19" s="233"/>
      <c r="N19" s="233"/>
      <c r="O19" s="233"/>
      <c r="P19" s="233"/>
      <c r="Q19" s="233"/>
      <c r="R19" s="233"/>
      <c r="S19" s="234"/>
    </row>
    <row r="20" spans="2:19" x14ac:dyDescent="0.3">
      <c r="D20" s="232"/>
      <c r="E20" s="233"/>
      <c r="F20" s="233"/>
      <c r="G20" s="233"/>
      <c r="H20" s="233"/>
      <c r="I20" s="233"/>
      <c r="J20" s="233"/>
      <c r="K20" s="233"/>
      <c r="L20" s="233"/>
      <c r="M20" s="233"/>
      <c r="N20" s="233"/>
      <c r="O20" s="233"/>
      <c r="P20" s="233"/>
      <c r="Q20" s="233"/>
      <c r="R20" s="233"/>
      <c r="S20" s="234"/>
    </row>
    <row r="21" spans="2:19" x14ac:dyDescent="0.3">
      <c r="D21" s="232"/>
      <c r="E21" s="233"/>
      <c r="F21" s="233"/>
      <c r="G21" s="233"/>
      <c r="H21" s="233"/>
      <c r="I21" s="233"/>
      <c r="J21" s="233"/>
      <c r="K21" s="233"/>
      <c r="L21" s="233"/>
      <c r="M21" s="233"/>
      <c r="N21" s="233"/>
      <c r="O21" s="233"/>
      <c r="P21" s="233"/>
      <c r="Q21" s="233"/>
      <c r="R21" s="233"/>
      <c r="S21" s="234"/>
    </row>
    <row r="22" spans="2:19" x14ac:dyDescent="0.3">
      <c r="D22" s="232"/>
      <c r="E22" s="233"/>
      <c r="F22" s="233"/>
      <c r="G22" s="233"/>
      <c r="H22" s="233"/>
      <c r="I22" s="233"/>
      <c r="J22" s="233"/>
      <c r="K22" s="233"/>
      <c r="L22" s="233"/>
      <c r="M22" s="233"/>
      <c r="N22" s="233"/>
      <c r="O22" s="233"/>
      <c r="P22" s="233"/>
      <c r="Q22" s="233"/>
      <c r="R22" s="233"/>
      <c r="S22" s="234"/>
    </row>
    <row r="23" spans="2:19" ht="15" thickBot="1" x14ac:dyDescent="0.35">
      <c r="D23" s="235"/>
      <c r="E23" s="236"/>
      <c r="F23" s="236"/>
      <c r="G23" s="236"/>
      <c r="H23" s="236"/>
      <c r="I23" s="236"/>
      <c r="J23" s="236"/>
      <c r="K23" s="236"/>
      <c r="L23" s="236"/>
      <c r="M23" s="236"/>
      <c r="N23" s="236"/>
      <c r="O23" s="236"/>
      <c r="P23" s="236"/>
      <c r="Q23" s="236"/>
      <c r="R23" s="236"/>
      <c r="S23" s="237"/>
    </row>
    <row r="28" spans="2:19" ht="24" thickBot="1" x14ac:dyDescent="0.5">
      <c r="D28" s="238" t="s">
        <v>339</v>
      </c>
      <c r="E28" s="238"/>
      <c r="F28" s="238"/>
      <c r="G28" s="238"/>
      <c r="H28" s="238"/>
      <c r="I28" s="238"/>
      <c r="J28" s="238"/>
    </row>
    <row r="29" spans="2:19" ht="15" thickBot="1" x14ac:dyDescent="0.35">
      <c r="B29" s="239" t="s">
        <v>340</v>
      </c>
      <c r="C29" s="45" t="s">
        <v>341</v>
      </c>
      <c r="D29" s="240" t="s">
        <v>342</v>
      </c>
      <c r="E29" s="241"/>
      <c r="F29" s="241"/>
      <c r="G29" s="241"/>
      <c r="H29" s="241"/>
      <c r="I29" s="241"/>
      <c r="J29" s="241"/>
      <c r="K29" s="241"/>
      <c r="L29" s="241"/>
      <c r="M29" s="241"/>
      <c r="N29" s="241"/>
      <c r="O29" s="241"/>
      <c r="P29" s="242"/>
    </row>
    <row r="30" spans="2:19" x14ac:dyDescent="0.3">
      <c r="B30" s="218"/>
      <c r="C30" t="s">
        <v>343</v>
      </c>
      <c r="D30" t="s">
        <v>344</v>
      </c>
    </row>
    <row r="31" spans="2:19" ht="15" thickBot="1" x14ac:dyDescent="0.35">
      <c r="B31" s="218"/>
    </row>
    <row r="32" spans="2:19" ht="15" thickBot="1" x14ac:dyDescent="0.35">
      <c r="B32" s="218"/>
      <c r="C32" s="45" t="s">
        <v>345</v>
      </c>
      <c r="D32" s="240" t="s">
        <v>346</v>
      </c>
      <c r="E32" s="241"/>
      <c r="F32" s="241"/>
      <c r="G32" s="241"/>
      <c r="H32" s="241"/>
      <c r="I32" s="241"/>
      <c r="J32" s="241"/>
      <c r="K32" s="242"/>
    </row>
    <row r="33" spans="2:20" x14ac:dyDescent="0.3">
      <c r="B33" s="218"/>
      <c r="C33" t="s">
        <v>347</v>
      </c>
    </row>
    <row r="34" spans="2:20" ht="15" thickBot="1" x14ac:dyDescent="0.35">
      <c r="B34" s="218"/>
    </row>
    <row r="35" spans="2:20" x14ac:dyDescent="0.3">
      <c r="B35" s="218"/>
      <c r="C35" s="45" t="s">
        <v>348</v>
      </c>
      <c r="D35" s="202" t="s">
        <v>349</v>
      </c>
      <c r="E35" s="203"/>
      <c r="F35" s="203"/>
      <c r="G35" s="203"/>
      <c r="H35" s="203"/>
      <c r="I35" s="203"/>
      <c r="J35" s="203"/>
      <c r="K35" s="203"/>
      <c r="L35" s="203"/>
      <c r="M35" s="203"/>
      <c r="N35" s="203"/>
      <c r="O35" s="203"/>
      <c r="P35" s="204"/>
    </row>
    <row r="36" spans="2:20" ht="15" thickBot="1" x14ac:dyDescent="0.35">
      <c r="B36" s="219"/>
      <c r="D36" s="228"/>
      <c r="E36" s="207"/>
      <c r="F36" s="207"/>
      <c r="G36" s="207"/>
      <c r="H36" s="207"/>
      <c r="I36" s="207"/>
      <c r="J36" s="207"/>
      <c r="K36" s="207"/>
      <c r="L36" s="207"/>
      <c r="M36" s="207"/>
      <c r="N36" s="207"/>
      <c r="O36" s="207"/>
      <c r="P36" s="208"/>
    </row>
    <row r="37" spans="2:20" x14ac:dyDescent="0.3">
      <c r="C37" t="s">
        <v>350</v>
      </c>
      <c r="D37" t="s">
        <v>351</v>
      </c>
    </row>
    <row r="38" spans="2:20" ht="15" thickBot="1" x14ac:dyDescent="0.35"/>
    <row r="39" spans="2:20" ht="14.4" customHeight="1" x14ac:dyDescent="0.3">
      <c r="B39" s="199" t="s">
        <v>352</v>
      </c>
      <c r="C39" t="s">
        <v>341</v>
      </c>
      <c r="E39" s="202" t="s">
        <v>353</v>
      </c>
      <c r="F39" s="203"/>
      <c r="G39" s="203"/>
      <c r="H39" s="203"/>
      <c r="I39" s="203"/>
      <c r="J39" s="203"/>
      <c r="K39" s="203"/>
      <c r="L39" s="203"/>
      <c r="M39" s="203"/>
      <c r="N39" s="203"/>
      <c r="O39" s="203"/>
      <c r="P39" s="203"/>
      <c r="Q39" s="203"/>
      <c r="R39" s="203"/>
      <c r="S39" s="203"/>
      <c r="T39" s="204"/>
    </row>
    <row r="40" spans="2:20" x14ac:dyDescent="0.3">
      <c r="B40" s="200"/>
      <c r="C40" t="s">
        <v>354</v>
      </c>
      <c r="D40" t="s">
        <v>344</v>
      </c>
      <c r="E40" s="205"/>
      <c r="F40" s="180"/>
      <c r="G40" s="180"/>
      <c r="H40" s="180"/>
      <c r="I40" s="180"/>
      <c r="J40" s="180"/>
      <c r="K40" s="180"/>
      <c r="L40" s="180"/>
      <c r="M40" s="180"/>
      <c r="N40" s="180"/>
      <c r="O40" s="180"/>
      <c r="P40" s="180"/>
      <c r="Q40" s="180"/>
      <c r="R40" s="180"/>
      <c r="S40" s="180"/>
      <c r="T40" s="206"/>
    </row>
    <row r="41" spans="2:20" ht="15" thickBot="1" x14ac:dyDescent="0.35">
      <c r="B41" s="200"/>
      <c r="E41" s="205"/>
      <c r="F41" s="180"/>
      <c r="G41" s="180"/>
      <c r="H41" s="180"/>
      <c r="I41" s="180"/>
      <c r="J41" s="180"/>
      <c r="K41" s="180"/>
      <c r="L41" s="180"/>
      <c r="M41" s="180"/>
      <c r="N41" s="180"/>
      <c r="O41" s="180"/>
      <c r="P41" s="180"/>
      <c r="Q41" s="207"/>
      <c r="R41" s="207"/>
      <c r="S41" s="207"/>
      <c r="T41" s="208"/>
    </row>
    <row r="42" spans="2:20" x14ac:dyDescent="0.3">
      <c r="B42" s="200"/>
      <c r="C42" t="s">
        <v>345</v>
      </c>
      <c r="D42" s="202" t="s">
        <v>355</v>
      </c>
      <c r="E42" s="203"/>
      <c r="F42" s="203"/>
      <c r="G42" s="203"/>
      <c r="H42" s="203"/>
      <c r="I42" s="203"/>
      <c r="J42" s="203"/>
      <c r="K42" s="203"/>
      <c r="L42" s="203"/>
      <c r="M42" s="203"/>
      <c r="N42" s="203"/>
      <c r="O42" s="203"/>
      <c r="P42" s="204"/>
    </row>
    <row r="43" spans="2:20" ht="15" thickBot="1" x14ac:dyDescent="0.35">
      <c r="B43" s="200"/>
      <c r="C43" t="s">
        <v>347</v>
      </c>
      <c r="D43" s="205"/>
      <c r="E43" s="180"/>
      <c r="F43" s="180"/>
      <c r="G43" s="180"/>
      <c r="H43" s="180"/>
      <c r="I43" s="180"/>
      <c r="J43" s="180"/>
      <c r="K43" s="180"/>
      <c r="L43" s="180"/>
      <c r="M43" s="180"/>
      <c r="N43" s="180"/>
      <c r="O43" s="180"/>
      <c r="P43" s="206"/>
    </row>
    <row r="44" spans="2:20" ht="14.4" customHeight="1" x14ac:dyDescent="0.3">
      <c r="B44" s="200"/>
      <c r="D44" s="209" t="s">
        <v>356</v>
      </c>
      <c r="E44" s="210"/>
      <c r="F44" s="210"/>
      <c r="G44" s="210"/>
      <c r="H44" s="210"/>
      <c r="I44" s="210"/>
      <c r="J44" s="210"/>
      <c r="K44" s="210"/>
      <c r="L44" s="210"/>
      <c r="M44" s="210"/>
      <c r="N44" s="210"/>
      <c r="O44" s="210"/>
      <c r="P44" s="210"/>
      <c r="Q44" s="211"/>
    </row>
    <row r="45" spans="2:20" x14ac:dyDescent="0.3">
      <c r="B45" s="200"/>
      <c r="C45" t="s">
        <v>348</v>
      </c>
      <c r="D45" s="212"/>
      <c r="E45" s="193"/>
      <c r="F45" s="193"/>
      <c r="G45" s="193"/>
      <c r="H45" s="193"/>
      <c r="I45" s="193"/>
      <c r="J45" s="193"/>
      <c r="K45" s="193"/>
      <c r="L45" s="193"/>
      <c r="M45" s="193"/>
      <c r="N45" s="193"/>
      <c r="O45" s="193"/>
      <c r="P45" s="193"/>
      <c r="Q45" s="213"/>
    </row>
    <row r="46" spans="2:20" ht="15" thickBot="1" x14ac:dyDescent="0.35">
      <c r="B46" s="201"/>
      <c r="D46" s="214"/>
      <c r="E46" s="215"/>
      <c r="F46" s="215"/>
      <c r="G46" s="215"/>
      <c r="H46" s="215"/>
      <c r="I46" s="215"/>
      <c r="J46" s="215"/>
      <c r="K46" s="215"/>
      <c r="L46" s="215"/>
      <c r="M46" s="215"/>
      <c r="N46" s="215"/>
      <c r="O46" s="215"/>
      <c r="P46" s="215"/>
      <c r="Q46" s="216"/>
    </row>
    <row r="47" spans="2:20" x14ac:dyDescent="0.3">
      <c r="C47" t="s">
        <v>350</v>
      </c>
      <c r="D47" t="s">
        <v>357</v>
      </c>
    </row>
    <row r="48" spans="2:20" ht="15" thickBot="1" x14ac:dyDescent="0.35"/>
    <row r="49" spans="2:20" ht="14.4" customHeight="1" x14ac:dyDescent="0.3">
      <c r="B49" s="217" t="s">
        <v>358</v>
      </c>
      <c r="C49" t="s">
        <v>341</v>
      </c>
      <c r="E49" s="220" t="s">
        <v>359</v>
      </c>
      <c r="F49" s="221"/>
      <c r="G49" s="221"/>
      <c r="H49" s="221"/>
      <c r="I49" s="221"/>
      <c r="J49" s="221"/>
      <c r="K49" s="221"/>
      <c r="L49" s="221"/>
      <c r="M49" s="221"/>
      <c r="N49" s="221"/>
      <c r="O49" s="221"/>
      <c r="P49" s="221"/>
      <c r="Q49" s="221"/>
      <c r="R49" s="221"/>
      <c r="S49" s="221"/>
      <c r="T49" s="222"/>
    </row>
    <row r="50" spans="2:20" x14ac:dyDescent="0.3">
      <c r="B50" s="218"/>
      <c r="C50" t="s">
        <v>360</v>
      </c>
      <c r="D50" t="s">
        <v>361</v>
      </c>
      <c r="E50" s="223"/>
      <c r="F50" s="224"/>
      <c r="G50" s="224"/>
      <c r="H50" s="224"/>
      <c r="I50" s="224"/>
      <c r="J50" s="224"/>
      <c r="K50" s="224"/>
      <c r="L50" s="224"/>
      <c r="M50" s="224"/>
      <c r="N50" s="224"/>
      <c r="O50" s="224"/>
      <c r="P50" s="224"/>
      <c r="Q50" s="224"/>
      <c r="R50" s="224"/>
      <c r="S50" s="224"/>
      <c r="T50" s="225"/>
    </row>
    <row r="51" spans="2:20" ht="15" thickBot="1" x14ac:dyDescent="0.35">
      <c r="B51" s="218"/>
      <c r="E51" s="223"/>
      <c r="F51" s="224"/>
      <c r="G51" s="224"/>
      <c r="H51" s="224"/>
      <c r="I51" s="224"/>
      <c r="J51" s="224"/>
      <c r="K51" s="224"/>
      <c r="L51" s="224"/>
      <c r="M51" s="224"/>
      <c r="N51" s="224"/>
      <c r="O51" s="224"/>
      <c r="P51" s="224"/>
      <c r="Q51" s="224"/>
      <c r="R51" s="226"/>
      <c r="S51" s="226"/>
      <c r="T51" s="227"/>
    </row>
    <row r="52" spans="2:20" x14ac:dyDescent="0.3">
      <c r="B52" s="218"/>
      <c r="C52" t="s">
        <v>345</v>
      </c>
      <c r="D52" s="202" t="s">
        <v>362</v>
      </c>
      <c r="E52" s="203"/>
      <c r="F52" s="203"/>
      <c r="G52" s="203"/>
      <c r="H52" s="203"/>
      <c r="I52" s="203"/>
      <c r="J52" s="203"/>
      <c r="K52" s="203"/>
      <c r="L52" s="203"/>
      <c r="M52" s="203"/>
      <c r="N52" s="203"/>
      <c r="O52" s="203"/>
      <c r="P52" s="203"/>
      <c r="Q52" s="204"/>
    </row>
    <row r="53" spans="2:20" ht="15" thickBot="1" x14ac:dyDescent="0.35">
      <c r="B53" s="218"/>
      <c r="C53" t="s">
        <v>347</v>
      </c>
      <c r="D53" s="228"/>
      <c r="E53" s="207"/>
      <c r="F53" s="207"/>
      <c r="G53" s="207"/>
      <c r="H53" s="207"/>
      <c r="I53" s="207"/>
      <c r="J53" s="207"/>
      <c r="K53" s="207"/>
      <c r="L53" s="207"/>
      <c r="M53" s="207"/>
      <c r="N53" s="207"/>
      <c r="O53" s="207"/>
      <c r="P53" s="207"/>
      <c r="Q53" s="208"/>
    </row>
    <row r="54" spans="2:20" ht="15" thickBot="1" x14ac:dyDescent="0.35">
      <c r="B54" s="218"/>
    </row>
    <row r="55" spans="2:20" ht="14.4" customHeight="1" x14ac:dyDescent="0.3">
      <c r="B55" s="218"/>
      <c r="C55" t="s">
        <v>348</v>
      </c>
      <c r="E55" s="202" t="s">
        <v>363</v>
      </c>
      <c r="F55" s="203"/>
      <c r="G55" s="203"/>
      <c r="H55" s="203"/>
      <c r="I55" s="203"/>
      <c r="J55" s="203"/>
      <c r="K55" s="203"/>
      <c r="L55" s="203"/>
      <c r="M55" s="203"/>
      <c r="N55" s="203"/>
      <c r="O55" s="203"/>
      <c r="P55" s="203"/>
      <c r="Q55" s="203"/>
      <c r="R55" s="203"/>
      <c r="S55" s="203"/>
      <c r="T55" s="204"/>
    </row>
    <row r="56" spans="2:20" x14ac:dyDescent="0.3">
      <c r="B56" s="218"/>
      <c r="E56" s="205"/>
      <c r="F56" s="180"/>
      <c r="G56" s="180"/>
      <c r="H56" s="180"/>
      <c r="I56" s="180"/>
      <c r="J56" s="180"/>
      <c r="K56" s="180"/>
      <c r="L56" s="180"/>
      <c r="M56" s="180"/>
      <c r="N56" s="180"/>
      <c r="O56" s="180"/>
      <c r="P56" s="180"/>
      <c r="Q56" s="180"/>
      <c r="R56" s="180"/>
      <c r="S56" s="180"/>
      <c r="T56" s="206"/>
    </row>
    <row r="57" spans="2:20" ht="15" thickBot="1" x14ac:dyDescent="0.35">
      <c r="B57" s="219"/>
      <c r="C57" t="s">
        <v>364</v>
      </c>
      <c r="D57" t="s">
        <v>365</v>
      </c>
      <c r="E57" s="205"/>
      <c r="F57" s="180"/>
      <c r="G57" s="180"/>
      <c r="H57" s="180"/>
      <c r="I57" s="180"/>
      <c r="J57" s="180"/>
      <c r="K57" s="180"/>
      <c r="L57" s="180"/>
      <c r="M57" s="180"/>
      <c r="N57" s="180"/>
      <c r="O57" s="180"/>
      <c r="P57" s="180"/>
      <c r="Q57" s="180"/>
      <c r="R57" s="180"/>
      <c r="S57" s="180"/>
      <c r="T57" s="206"/>
    </row>
    <row r="58" spans="2:20" ht="15" thickBot="1" x14ac:dyDescent="0.35">
      <c r="E58" s="228"/>
      <c r="F58" s="207"/>
      <c r="G58" s="207"/>
      <c r="H58" s="207"/>
      <c r="I58" s="207"/>
      <c r="J58" s="207"/>
      <c r="K58" s="207"/>
      <c r="L58" s="207"/>
      <c r="M58" s="207"/>
      <c r="N58" s="207"/>
      <c r="O58" s="207"/>
      <c r="P58" s="207"/>
      <c r="Q58" s="207"/>
      <c r="R58" s="207"/>
      <c r="S58" s="207"/>
      <c r="T58" s="208"/>
    </row>
    <row r="59" spans="2:20" ht="15" thickBot="1" x14ac:dyDescent="0.35"/>
    <row r="60" spans="2:20" ht="15" thickBot="1" x14ac:dyDescent="0.35">
      <c r="B60" s="199" t="s">
        <v>366</v>
      </c>
      <c r="C60" t="s">
        <v>341</v>
      </c>
      <c r="E60" s="240" t="s">
        <v>367</v>
      </c>
      <c r="F60" s="241"/>
      <c r="G60" s="241"/>
      <c r="H60" s="241"/>
      <c r="I60" s="241"/>
      <c r="J60" s="241"/>
      <c r="K60" s="241"/>
      <c r="L60" s="241"/>
      <c r="M60" s="241"/>
      <c r="N60" s="241"/>
      <c r="O60" s="241"/>
      <c r="P60" s="241"/>
      <c r="Q60" s="241"/>
      <c r="R60" s="241"/>
      <c r="S60" s="242"/>
    </row>
    <row r="61" spans="2:20" x14ac:dyDescent="0.3">
      <c r="B61" s="200"/>
      <c r="C61" t="s">
        <v>360</v>
      </c>
      <c r="D61" t="s">
        <v>368</v>
      </c>
      <c r="E61" s="46"/>
      <c r="F61" s="46"/>
      <c r="G61" s="46"/>
      <c r="H61" s="46"/>
      <c r="I61" s="46"/>
      <c r="J61" s="46"/>
      <c r="K61" s="46"/>
      <c r="L61" s="46"/>
      <c r="M61" s="46"/>
      <c r="N61" s="46"/>
      <c r="O61" s="46"/>
      <c r="P61" s="46"/>
      <c r="Q61" s="46"/>
    </row>
    <row r="62" spans="2:20" x14ac:dyDescent="0.3">
      <c r="B62" s="200"/>
      <c r="E62" s="46"/>
      <c r="F62" s="46"/>
      <c r="G62" s="46"/>
      <c r="H62" s="46"/>
      <c r="I62" s="46"/>
      <c r="J62" s="46"/>
      <c r="K62" s="46"/>
      <c r="L62" s="46"/>
      <c r="M62" s="46"/>
      <c r="N62" s="46"/>
      <c r="O62" s="46"/>
      <c r="P62" s="46"/>
      <c r="Q62" s="46"/>
    </row>
    <row r="63" spans="2:20" ht="15" thickBot="1" x14ac:dyDescent="0.35">
      <c r="B63" s="200"/>
      <c r="E63" s="46"/>
      <c r="F63" s="46"/>
      <c r="G63" s="46"/>
      <c r="H63" s="46"/>
      <c r="I63" s="46"/>
      <c r="J63" s="46"/>
      <c r="K63" s="46"/>
      <c r="L63" s="46"/>
      <c r="M63" s="46"/>
      <c r="N63" s="46"/>
      <c r="O63" s="46"/>
      <c r="P63" s="46"/>
      <c r="Q63" s="46"/>
    </row>
    <row r="64" spans="2:20" x14ac:dyDescent="0.3">
      <c r="B64" s="200"/>
      <c r="C64" t="s">
        <v>345</v>
      </c>
      <c r="D64" s="202" t="s">
        <v>369</v>
      </c>
      <c r="E64" s="203"/>
      <c r="F64" s="203"/>
      <c r="G64" s="203"/>
      <c r="H64" s="203"/>
      <c r="I64" s="203"/>
      <c r="J64" s="203"/>
      <c r="K64" s="203"/>
      <c r="L64" s="203"/>
      <c r="M64" s="203"/>
      <c r="N64" s="203"/>
      <c r="O64" s="203"/>
      <c r="P64" s="203"/>
      <c r="Q64" s="203"/>
      <c r="R64" s="203"/>
      <c r="S64" s="204"/>
    </row>
    <row r="65" spans="2:19" ht="15" thickBot="1" x14ac:dyDescent="0.35">
      <c r="B65" s="200"/>
      <c r="C65" t="s">
        <v>347</v>
      </c>
      <c r="D65" s="228"/>
      <c r="E65" s="207"/>
      <c r="F65" s="207"/>
      <c r="G65" s="207"/>
      <c r="H65" s="207"/>
      <c r="I65" s="207"/>
      <c r="J65" s="207"/>
      <c r="K65" s="207"/>
      <c r="L65" s="207"/>
      <c r="M65" s="207"/>
      <c r="N65" s="207"/>
      <c r="O65" s="207"/>
      <c r="P65" s="207"/>
      <c r="Q65" s="207"/>
      <c r="R65" s="207"/>
      <c r="S65" s="208"/>
    </row>
    <row r="66" spans="2:19" x14ac:dyDescent="0.3">
      <c r="B66" s="200"/>
    </row>
    <row r="67" spans="2:19" ht="15" thickBot="1" x14ac:dyDescent="0.35">
      <c r="B67" s="200"/>
    </row>
    <row r="68" spans="2:19" x14ac:dyDescent="0.3">
      <c r="B68" s="200"/>
      <c r="C68" t="s">
        <v>348</v>
      </c>
      <c r="E68" s="202" t="s">
        <v>370</v>
      </c>
      <c r="F68" s="203"/>
      <c r="G68" s="203"/>
      <c r="H68" s="203"/>
      <c r="I68" s="203"/>
      <c r="J68" s="203"/>
      <c r="K68" s="203"/>
      <c r="L68" s="203"/>
      <c r="M68" s="203"/>
      <c r="N68" s="203"/>
      <c r="O68" s="203"/>
      <c r="P68" s="203"/>
      <c r="Q68" s="203"/>
      <c r="R68" s="203"/>
      <c r="S68" s="204"/>
    </row>
    <row r="69" spans="2:19" ht="15" thickBot="1" x14ac:dyDescent="0.35">
      <c r="B69" s="200"/>
      <c r="E69" s="228"/>
      <c r="F69" s="207"/>
      <c r="G69" s="207"/>
      <c r="H69" s="207"/>
      <c r="I69" s="207"/>
      <c r="J69" s="207"/>
      <c r="K69" s="207"/>
      <c r="L69" s="207"/>
      <c r="M69" s="207"/>
      <c r="N69" s="207"/>
      <c r="O69" s="207"/>
      <c r="P69" s="207"/>
      <c r="Q69" s="207"/>
      <c r="R69" s="207"/>
      <c r="S69" s="208"/>
    </row>
    <row r="70" spans="2:19" ht="15" thickBot="1" x14ac:dyDescent="0.35">
      <c r="B70" s="201"/>
      <c r="C70" t="s">
        <v>364</v>
      </c>
      <c r="D70" t="s">
        <v>371</v>
      </c>
    </row>
    <row r="72" spans="2:19" ht="15" thickBot="1" x14ac:dyDescent="0.35"/>
    <row r="73" spans="2:19" ht="15" thickBot="1" x14ac:dyDescent="0.35">
      <c r="B73" s="199" t="s">
        <v>372</v>
      </c>
      <c r="C73" t="s">
        <v>341</v>
      </c>
      <c r="D73" s="244" t="s">
        <v>373</v>
      </c>
      <c r="E73" s="245"/>
      <c r="F73" s="245"/>
      <c r="G73" s="245"/>
      <c r="H73" s="245"/>
      <c r="I73" s="245"/>
      <c r="J73" s="245"/>
      <c r="K73" s="245"/>
      <c r="L73" s="245"/>
      <c r="M73" s="245"/>
      <c r="N73" s="245"/>
      <c r="O73" s="245"/>
      <c r="P73" s="245"/>
      <c r="Q73" s="245"/>
      <c r="R73" s="245"/>
      <c r="S73" s="246"/>
    </row>
    <row r="74" spans="2:19" x14ac:dyDescent="0.3">
      <c r="B74" s="200"/>
      <c r="C74" t="s">
        <v>360</v>
      </c>
      <c r="D74" t="s">
        <v>361</v>
      </c>
    </row>
    <row r="75" spans="2:19" x14ac:dyDescent="0.3">
      <c r="B75" s="200"/>
    </row>
    <row r="76" spans="2:19" ht="15" thickBot="1" x14ac:dyDescent="0.35">
      <c r="B76" s="200"/>
    </row>
    <row r="77" spans="2:19" x14ac:dyDescent="0.3">
      <c r="B77" s="200"/>
      <c r="C77" t="s">
        <v>345</v>
      </c>
      <c r="D77" s="209" t="s">
        <v>374</v>
      </c>
      <c r="E77" s="210"/>
      <c r="F77" s="210"/>
      <c r="G77" s="210"/>
      <c r="H77" s="210"/>
      <c r="I77" s="210"/>
      <c r="J77" s="210"/>
      <c r="K77" s="210"/>
      <c r="L77" s="210"/>
      <c r="M77" s="210"/>
      <c r="N77" s="210"/>
      <c r="O77" s="210"/>
      <c r="P77" s="210"/>
      <c r="Q77" s="210"/>
      <c r="R77" s="210"/>
      <c r="S77" s="211"/>
    </row>
    <row r="78" spans="2:19" ht="15" thickBot="1" x14ac:dyDescent="0.35">
      <c r="B78" s="200"/>
      <c r="C78" t="s">
        <v>347</v>
      </c>
      <c r="D78" s="214"/>
      <c r="E78" s="215"/>
      <c r="F78" s="215"/>
      <c r="G78" s="215"/>
      <c r="H78" s="215"/>
      <c r="I78" s="215"/>
      <c r="J78" s="215"/>
      <c r="K78" s="215"/>
      <c r="L78" s="215"/>
      <c r="M78" s="215"/>
      <c r="N78" s="215"/>
      <c r="O78" s="215"/>
      <c r="P78" s="215"/>
      <c r="Q78" s="215"/>
      <c r="R78" s="215"/>
      <c r="S78" s="216"/>
    </row>
    <row r="79" spans="2:19" x14ac:dyDescent="0.3">
      <c r="B79" s="200"/>
    </row>
    <row r="80" spans="2:19" ht="15" thickBot="1" x14ac:dyDescent="0.35">
      <c r="B80" s="200"/>
    </row>
    <row r="81" spans="2:19" x14ac:dyDescent="0.3">
      <c r="B81" s="200"/>
      <c r="C81" t="s">
        <v>348</v>
      </c>
      <c r="D81" s="220" t="s">
        <v>375</v>
      </c>
      <c r="E81" s="221"/>
      <c r="F81" s="221"/>
      <c r="G81" s="221"/>
      <c r="H81" s="221"/>
      <c r="I81" s="221"/>
      <c r="J81" s="221"/>
      <c r="K81" s="221"/>
      <c r="L81" s="221"/>
      <c r="M81" s="221"/>
      <c r="N81" s="221"/>
      <c r="O81" s="221"/>
      <c r="P81" s="221"/>
      <c r="Q81" s="221"/>
      <c r="R81" s="221"/>
      <c r="S81" s="222"/>
    </row>
    <row r="82" spans="2:19" ht="15" thickBot="1" x14ac:dyDescent="0.35">
      <c r="B82" s="200"/>
      <c r="D82" s="247"/>
      <c r="E82" s="226"/>
      <c r="F82" s="226"/>
      <c r="G82" s="226"/>
      <c r="H82" s="226"/>
      <c r="I82" s="226"/>
      <c r="J82" s="226"/>
      <c r="K82" s="226"/>
      <c r="L82" s="226"/>
      <c r="M82" s="226"/>
      <c r="N82" s="226"/>
      <c r="O82" s="226"/>
      <c r="P82" s="226"/>
      <c r="Q82" s="226"/>
      <c r="R82" s="226"/>
      <c r="S82" s="227"/>
    </row>
    <row r="83" spans="2:19" ht="15" thickBot="1" x14ac:dyDescent="0.35">
      <c r="B83" s="201"/>
      <c r="C83" t="s">
        <v>364</v>
      </c>
      <c r="D83" t="s">
        <v>376</v>
      </c>
    </row>
    <row r="86" spans="2:19" ht="18" x14ac:dyDescent="0.35">
      <c r="H86" s="248" t="s">
        <v>377</v>
      </c>
      <c r="I86" s="248"/>
      <c r="J86" s="248"/>
      <c r="K86" s="248"/>
      <c r="L86" s="248"/>
    </row>
    <row r="89" spans="2:19" ht="15" thickBot="1" x14ac:dyDescent="0.35">
      <c r="C89" t="s">
        <v>378</v>
      </c>
      <c r="G89" s="249" t="s">
        <v>379</v>
      </c>
      <c r="H89" s="249"/>
      <c r="I89" s="250" t="s">
        <v>380</v>
      </c>
      <c r="J89" s="250"/>
      <c r="K89" s="251" t="s">
        <v>345</v>
      </c>
      <c r="L89" s="251"/>
      <c r="M89" s="252" t="s">
        <v>381</v>
      </c>
      <c r="N89" s="252"/>
      <c r="O89" s="243" t="s">
        <v>382</v>
      </c>
      <c r="P89" s="243"/>
    </row>
    <row r="90" spans="2:19" ht="15" thickBot="1" x14ac:dyDescent="0.35">
      <c r="C90" s="253" t="s">
        <v>383</v>
      </c>
      <c r="D90" s="254"/>
      <c r="E90" s="255"/>
    </row>
    <row r="91" spans="2:19" ht="15" thickBot="1" x14ac:dyDescent="0.35"/>
    <row r="92" spans="2:19" ht="15" thickBot="1" x14ac:dyDescent="0.35">
      <c r="C92" s="253" t="s">
        <v>384</v>
      </c>
      <c r="D92" s="254"/>
      <c r="E92" s="255"/>
    </row>
    <row r="93" spans="2:19" ht="15" thickBot="1" x14ac:dyDescent="0.35"/>
    <row r="94" spans="2:19" ht="15" thickBot="1" x14ac:dyDescent="0.35">
      <c r="C94" s="253" t="s">
        <v>385</v>
      </c>
      <c r="D94" s="254"/>
      <c r="E94" s="255"/>
    </row>
    <row r="95" spans="2:19" ht="15" thickBot="1" x14ac:dyDescent="0.35"/>
    <row r="96" spans="2:19" ht="15" thickBot="1" x14ac:dyDescent="0.35">
      <c r="C96" s="253" t="s">
        <v>386</v>
      </c>
      <c r="D96" s="254"/>
      <c r="E96" s="255"/>
    </row>
    <row r="97" spans="3:17" ht="15" thickBot="1" x14ac:dyDescent="0.35"/>
    <row r="98" spans="3:17" ht="15" thickBot="1" x14ac:dyDescent="0.35">
      <c r="C98" s="253" t="s">
        <v>387</v>
      </c>
      <c r="D98" s="254"/>
      <c r="E98" s="255"/>
    </row>
    <row r="99" spans="3:17" ht="15" thickBot="1" x14ac:dyDescent="0.35"/>
    <row r="100" spans="3:17" ht="15" thickBot="1" x14ac:dyDescent="0.35">
      <c r="C100" s="253" t="s">
        <v>388</v>
      </c>
      <c r="D100" s="254"/>
      <c r="E100" s="255"/>
    </row>
    <row r="101" spans="3:17" ht="15" thickBot="1" x14ac:dyDescent="0.35"/>
    <row r="102" spans="3:17" ht="15" thickBot="1" x14ac:dyDescent="0.35">
      <c r="C102" s="253" t="s">
        <v>389</v>
      </c>
      <c r="D102" s="254"/>
      <c r="E102" s="255"/>
    </row>
    <row r="103" spans="3:17" ht="15" thickBot="1" x14ac:dyDescent="0.35"/>
    <row r="104" spans="3:17" ht="15" thickBot="1" x14ac:dyDescent="0.35">
      <c r="C104" s="253" t="s">
        <v>390</v>
      </c>
      <c r="D104" s="254"/>
      <c r="E104" s="255"/>
    </row>
    <row r="108" spans="3:17" x14ac:dyDescent="0.3">
      <c r="C108" s="167" t="s">
        <v>391</v>
      </c>
      <c r="D108" s="167"/>
      <c r="E108" t="s">
        <v>392</v>
      </c>
      <c r="L108" s="45" t="s">
        <v>393</v>
      </c>
    </row>
    <row r="109" spans="3:17" ht="15" thickBot="1" x14ac:dyDescent="0.35"/>
    <row r="110" spans="3:17" x14ac:dyDescent="0.3">
      <c r="C110" s="45" t="s">
        <v>394</v>
      </c>
      <c r="D110" s="202" t="s">
        <v>395</v>
      </c>
      <c r="E110" s="203"/>
      <c r="F110" s="203"/>
      <c r="G110" s="203"/>
      <c r="H110" s="203"/>
      <c r="I110" s="203"/>
      <c r="J110" s="203"/>
      <c r="K110" s="203"/>
      <c r="L110" s="203"/>
      <c r="M110" s="203"/>
      <c r="N110" s="203"/>
      <c r="O110" s="203"/>
      <c r="P110" s="203"/>
      <c r="Q110" s="204"/>
    </row>
    <row r="111" spans="3:17" ht="15" thickBot="1" x14ac:dyDescent="0.35">
      <c r="D111" s="228"/>
      <c r="E111" s="207"/>
      <c r="F111" s="207"/>
      <c r="G111" s="207"/>
      <c r="H111" s="207"/>
      <c r="I111" s="207"/>
      <c r="J111" s="207"/>
      <c r="K111" s="207"/>
      <c r="L111" s="207"/>
      <c r="M111" s="207"/>
      <c r="N111" s="207"/>
      <c r="O111" s="207"/>
      <c r="P111" s="207"/>
      <c r="Q111" s="208"/>
    </row>
    <row r="114" spans="3:17" ht="15" thickBot="1" x14ac:dyDescent="0.35"/>
    <row r="115" spans="3:17" x14ac:dyDescent="0.3">
      <c r="C115" s="45" t="s">
        <v>341</v>
      </c>
      <c r="D115" s="202" t="s">
        <v>396</v>
      </c>
      <c r="E115" s="203"/>
      <c r="F115" s="203"/>
      <c r="G115" s="203"/>
      <c r="H115" s="203"/>
      <c r="I115" s="203"/>
      <c r="J115" s="203"/>
      <c r="K115" s="203"/>
      <c r="L115" s="203"/>
      <c r="M115" s="203"/>
      <c r="N115" s="203"/>
      <c r="O115" s="203"/>
      <c r="P115" s="203"/>
      <c r="Q115" s="204"/>
    </row>
    <row r="116" spans="3:17" ht="15" thickBot="1" x14ac:dyDescent="0.35">
      <c r="D116" s="228"/>
      <c r="E116" s="207"/>
      <c r="F116" s="207"/>
      <c r="G116" s="207"/>
      <c r="H116" s="207"/>
      <c r="I116" s="207"/>
      <c r="J116" s="207"/>
      <c r="K116" s="207"/>
      <c r="L116" s="207"/>
      <c r="M116" s="207"/>
      <c r="N116" s="207"/>
      <c r="O116" s="207"/>
      <c r="P116" s="207"/>
      <c r="Q116" s="208"/>
    </row>
    <row r="117" spans="3:17" ht="15" thickBot="1" x14ac:dyDescent="0.35"/>
    <row r="118" spans="3:17" x14ac:dyDescent="0.3">
      <c r="C118" s="45" t="s">
        <v>345</v>
      </c>
      <c r="D118" s="202" t="s">
        <v>397</v>
      </c>
      <c r="E118" s="203"/>
      <c r="F118" s="203"/>
      <c r="G118" s="203"/>
      <c r="H118" s="203"/>
      <c r="I118" s="203"/>
      <c r="J118" s="203"/>
      <c r="K118" s="203"/>
      <c r="L118" s="203"/>
      <c r="M118" s="203"/>
      <c r="N118" s="203"/>
      <c r="O118" s="203"/>
      <c r="P118" s="203"/>
      <c r="Q118" s="204"/>
    </row>
    <row r="119" spans="3:17" ht="15" thickBot="1" x14ac:dyDescent="0.35">
      <c r="D119" s="228"/>
      <c r="E119" s="207"/>
      <c r="F119" s="207"/>
      <c r="G119" s="207"/>
      <c r="H119" s="207"/>
      <c r="I119" s="207"/>
      <c r="J119" s="207"/>
      <c r="K119" s="207"/>
      <c r="L119" s="207"/>
      <c r="M119" s="207"/>
      <c r="N119" s="207"/>
      <c r="O119" s="207"/>
      <c r="P119" s="207"/>
      <c r="Q119" s="208"/>
    </row>
    <row r="122" spans="3:17" x14ac:dyDescent="0.3">
      <c r="C122" s="256" t="s">
        <v>398</v>
      </c>
      <c r="D122" s="256"/>
      <c r="E122" s="256"/>
      <c r="F122" t="s">
        <v>399</v>
      </c>
    </row>
    <row r="123" spans="3:17" ht="15" thickBot="1" x14ac:dyDescent="0.35"/>
    <row r="124" spans="3:17" x14ac:dyDescent="0.3">
      <c r="C124" s="45" t="s">
        <v>400</v>
      </c>
      <c r="D124" s="209" t="s">
        <v>401</v>
      </c>
      <c r="E124" s="210"/>
      <c r="F124" s="210"/>
      <c r="G124" s="210"/>
      <c r="H124" s="210"/>
      <c r="I124" s="210"/>
      <c r="J124" s="210"/>
      <c r="K124" s="210"/>
      <c r="L124" s="210"/>
      <c r="M124" s="210"/>
      <c r="N124" s="210"/>
      <c r="O124" s="210"/>
      <c r="P124" s="210"/>
      <c r="Q124" s="211"/>
    </row>
    <row r="125" spans="3:17" x14ac:dyDescent="0.3">
      <c r="D125" s="212"/>
      <c r="E125" s="193"/>
      <c r="F125" s="193"/>
      <c r="G125" s="193"/>
      <c r="H125" s="193"/>
      <c r="I125" s="193"/>
      <c r="J125" s="193"/>
      <c r="K125" s="193"/>
      <c r="L125" s="193"/>
      <c r="M125" s="193"/>
      <c r="N125" s="193"/>
      <c r="O125" s="193"/>
      <c r="P125" s="193"/>
      <c r="Q125" s="213"/>
    </row>
    <row r="126" spans="3:17" ht="15" thickBot="1" x14ac:dyDescent="0.35">
      <c r="D126" s="214"/>
      <c r="E126" s="215"/>
      <c r="F126" s="215"/>
      <c r="G126" s="215"/>
      <c r="H126" s="215"/>
      <c r="I126" s="215"/>
      <c r="J126" s="215"/>
      <c r="K126" s="215"/>
      <c r="L126" s="215"/>
      <c r="M126" s="215"/>
      <c r="N126" s="215"/>
      <c r="O126" s="215"/>
      <c r="P126" s="215"/>
      <c r="Q126" s="216"/>
    </row>
    <row r="128" spans="3:17" ht="15" thickBot="1" x14ac:dyDescent="0.35"/>
    <row r="129" spans="3:17" x14ac:dyDescent="0.3">
      <c r="C129" s="45" t="s">
        <v>402</v>
      </c>
      <c r="D129" s="209" t="s">
        <v>403</v>
      </c>
      <c r="E129" s="210"/>
      <c r="F129" s="210"/>
      <c r="G129" s="210"/>
      <c r="H129" s="210"/>
      <c r="I129" s="210"/>
      <c r="J129" s="210"/>
      <c r="K129" s="210"/>
      <c r="L129" s="210"/>
      <c r="M129" s="210"/>
      <c r="N129" s="210"/>
      <c r="O129" s="210"/>
      <c r="P129" s="210"/>
      <c r="Q129" s="211"/>
    </row>
    <row r="130" spans="3:17" x14ac:dyDescent="0.3">
      <c r="D130" s="212"/>
      <c r="E130" s="193"/>
      <c r="F130" s="193"/>
      <c r="G130" s="193"/>
      <c r="H130" s="193"/>
      <c r="I130" s="193"/>
      <c r="J130" s="193"/>
      <c r="K130" s="193"/>
      <c r="L130" s="193"/>
      <c r="M130" s="193"/>
      <c r="N130" s="193"/>
      <c r="O130" s="193"/>
      <c r="P130" s="193"/>
      <c r="Q130" s="213"/>
    </row>
    <row r="131" spans="3:17" x14ac:dyDescent="0.3">
      <c r="D131" s="212"/>
      <c r="E131" s="193"/>
      <c r="F131" s="193"/>
      <c r="G131" s="193"/>
      <c r="H131" s="193"/>
      <c r="I131" s="193"/>
      <c r="J131" s="193"/>
      <c r="K131" s="193"/>
      <c r="L131" s="193"/>
      <c r="M131" s="193"/>
      <c r="N131" s="193"/>
      <c r="O131" s="193"/>
      <c r="P131" s="193"/>
      <c r="Q131" s="213"/>
    </row>
    <row r="132" spans="3:17" ht="15" thickBot="1" x14ac:dyDescent="0.35">
      <c r="D132" s="214"/>
      <c r="E132" s="215"/>
      <c r="F132" s="215"/>
      <c r="G132" s="215"/>
      <c r="H132" s="215"/>
      <c r="I132" s="215"/>
      <c r="J132" s="215"/>
      <c r="K132" s="215"/>
      <c r="L132" s="215"/>
      <c r="M132" s="215"/>
      <c r="N132" s="215"/>
      <c r="O132" s="215"/>
      <c r="P132" s="215"/>
      <c r="Q132" s="216"/>
    </row>
    <row r="133" spans="3:17" ht="15" thickBot="1" x14ac:dyDescent="0.35"/>
    <row r="134" spans="3:17" ht="14.4" customHeight="1" x14ac:dyDescent="0.3">
      <c r="C134" s="45" t="s">
        <v>345</v>
      </c>
      <c r="D134" s="202" t="s">
        <v>404</v>
      </c>
      <c r="E134" s="203"/>
      <c r="F134" s="203"/>
      <c r="G134" s="203"/>
      <c r="H134" s="203"/>
      <c r="I134" s="203"/>
      <c r="J134" s="203"/>
      <c r="K134" s="203"/>
      <c r="L134" s="203"/>
      <c r="M134" s="203"/>
      <c r="N134" s="203"/>
      <c r="O134" s="203"/>
      <c r="P134" s="203"/>
      <c r="Q134" s="204"/>
    </row>
    <row r="135" spans="3:17" x14ac:dyDescent="0.3">
      <c r="D135" s="205"/>
      <c r="E135" s="180"/>
      <c r="F135" s="180"/>
      <c r="G135" s="180"/>
      <c r="H135" s="180"/>
      <c r="I135" s="180"/>
      <c r="J135" s="180"/>
      <c r="K135" s="180"/>
      <c r="L135" s="180"/>
      <c r="M135" s="180"/>
      <c r="N135" s="180"/>
      <c r="O135" s="180"/>
      <c r="P135" s="180"/>
      <c r="Q135" s="206"/>
    </row>
    <row r="136" spans="3:17" ht="15" thickBot="1" x14ac:dyDescent="0.35">
      <c r="D136" s="228"/>
      <c r="E136" s="207"/>
      <c r="F136" s="207"/>
      <c r="G136" s="207"/>
      <c r="H136" s="207"/>
      <c r="I136" s="207"/>
      <c r="J136" s="207"/>
      <c r="K136" s="207"/>
      <c r="L136" s="207"/>
      <c r="M136" s="207"/>
      <c r="N136" s="207"/>
      <c r="O136" s="207"/>
      <c r="P136" s="207"/>
      <c r="Q136" s="208"/>
    </row>
    <row r="137" spans="3:17" x14ac:dyDescent="0.3">
      <c r="C137" s="167" t="s">
        <v>405</v>
      </c>
      <c r="D137" s="167"/>
      <c r="E137" s="167"/>
      <c r="F137" t="s">
        <v>406</v>
      </c>
    </row>
    <row r="138" spans="3:17" ht="15" thickBot="1" x14ac:dyDescent="0.35"/>
    <row r="139" spans="3:17" x14ac:dyDescent="0.3">
      <c r="C139" s="45" t="s">
        <v>400</v>
      </c>
      <c r="D139" s="202" t="s">
        <v>407</v>
      </c>
      <c r="E139" s="203"/>
      <c r="F139" s="203"/>
      <c r="G139" s="203"/>
      <c r="H139" s="203"/>
      <c r="I139" s="203"/>
      <c r="J139" s="203"/>
      <c r="K139" s="203"/>
      <c r="L139" s="203"/>
      <c r="M139" s="203"/>
      <c r="N139" s="203"/>
      <c r="O139" s="203"/>
      <c r="P139" s="203"/>
      <c r="Q139" s="204"/>
    </row>
    <row r="140" spans="3:17" x14ac:dyDescent="0.3">
      <c r="D140" s="205"/>
      <c r="E140" s="180"/>
      <c r="F140" s="180"/>
      <c r="G140" s="180"/>
      <c r="H140" s="180"/>
      <c r="I140" s="180"/>
      <c r="J140" s="180"/>
      <c r="K140" s="180"/>
      <c r="L140" s="180"/>
      <c r="M140" s="180"/>
      <c r="N140" s="180"/>
      <c r="O140" s="180"/>
      <c r="P140" s="180"/>
      <c r="Q140" s="206"/>
    </row>
    <row r="141" spans="3:17" ht="15" thickBot="1" x14ac:dyDescent="0.35">
      <c r="D141" s="228"/>
      <c r="E141" s="207"/>
      <c r="F141" s="207"/>
      <c r="G141" s="207"/>
      <c r="H141" s="207"/>
      <c r="I141" s="207"/>
      <c r="J141" s="207"/>
      <c r="K141" s="207"/>
      <c r="L141" s="207"/>
      <c r="M141" s="207"/>
      <c r="N141" s="207"/>
      <c r="O141" s="207"/>
      <c r="P141" s="207"/>
      <c r="Q141" s="208"/>
    </row>
    <row r="143" spans="3:17" ht="15" thickBot="1" x14ac:dyDescent="0.35"/>
    <row r="144" spans="3:17" x14ac:dyDescent="0.3">
      <c r="C144" s="45" t="s">
        <v>402</v>
      </c>
      <c r="D144" s="202" t="s">
        <v>408</v>
      </c>
      <c r="E144" s="203"/>
      <c r="F144" s="203"/>
      <c r="G144" s="203"/>
      <c r="H144" s="203"/>
      <c r="I144" s="203"/>
      <c r="J144" s="203"/>
      <c r="K144" s="203"/>
      <c r="L144" s="203"/>
      <c r="M144" s="203"/>
      <c r="N144" s="203"/>
      <c r="O144" s="203"/>
      <c r="P144" s="203"/>
      <c r="Q144" s="204"/>
    </row>
    <row r="145" spans="3:17" x14ac:dyDescent="0.3">
      <c r="D145" s="205"/>
      <c r="E145" s="180"/>
      <c r="F145" s="180"/>
      <c r="G145" s="180"/>
      <c r="H145" s="180"/>
      <c r="I145" s="180"/>
      <c r="J145" s="180"/>
      <c r="K145" s="180"/>
      <c r="L145" s="180"/>
      <c r="M145" s="180"/>
      <c r="N145" s="180"/>
      <c r="O145" s="180"/>
      <c r="P145" s="180"/>
      <c r="Q145" s="206"/>
    </row>
    <row r="146" spans="3:17" ht="15" thickBot="1" x14ac:dyDescent="0.35">
      <c r="D146" s="228"/>
      <c r="E146" s="207"/>
      <c r="F146" s="207"/>
      <c r="G146" s="207"/>
      <c r="H146" s="207"/>
      <c r="I146" s="207"/>
      <c r="J146" s="207"/>
      <c r="K146" s="207"/>
      <c r="L146" s="207"/>
      <c r="M146" s="207"/>
      <c r="N146" s="207"/>
      <c r="O146" s="207"/>
      <c r="P146" s="207"/>
      <c r="Q146" s="208"/>
    </row>
    <row r="148" spans="3:17" ht="15" thickBot="1" x14ac:dyDescent="0.35"/>
    <row r="149" spans="3:17" x14ac:dyDescent="0.3">
      <c r="C149" s="45" t="s">
        <v>409</v>
      </c>
      <c r="D149" s="209" t="s">
        <v>410</v>
      </c>
      <c r="E149" s="210"/>
      <c r="F149" s="210"/>
      <c r="G149" s="210"/>
      <c r="H149" s="210"/>
      <c r="I149" s="210"/>
      <c r="J149" s="210"/>
      <c r="K149" s="210"/>
      <c r="L149" s="210"/>
      <c r="M149" s="210"/>
      <c r="N149" s="210"/>
      <c r="O149" s="210"/>
      <c r="P149" s="210"/>
      <c r="Q149" s="211"/>
    </row>
    <row r="150" spans="3:17" x14ac:dyDescent="0.3">
      <c r="D150" s="212"/>
      <c r="E150" s="193"/>
      <c r="F150" s="193"/>
      <c r="G150" s="193"/>
      <c r="H150" s="193"/>
      <c r="I150" s="193"/>
      <c r="J150" s="193"/>
      <c r="K150" s="193"/>
      <c r="L150" s="193"/>
      <c r="M150" s="193"/>
      <c r="N150" s="193"/>
      <c r="O150" s="193"/>
      <c r="P150" s="193"/>
      <c r="Q150" s="213"/>
    </row>
    <row r="151" spans="3:17" x14ac:dyDescent="0.3">
      <c r="D151" s="212"/>
      <c r="E151" s="193"/>
      <c r="F151" s="193"/>
      <c r="G151" s="193"/>
      <c r="H151" s="193"/>
      <c r="I151" s="193"/>
      <c r="J151" s="193"/>
      <c r="K151" s="193"/>
      <c r="L151" s="193"/>
      <c r="M151" s="193"/>
      <c r="N151" s="193"/>
      <c r="O151" s="193"/>
      <c r="P151" s="193"/>
      <c r="Q151" s="213"/>
    </row>
    <row r="152" spans="3:17" ht="15" thickBot="1" x14ac:dyDescent="0.35">
      <c r="D152" s="214"/>
      <c r="E152" s="215"/>
      <c r="F152" s="215"/>
      <c r="G152" s="215"/>
      <c r="H152" s="215"/>
      <c r="I152" s="215"/>
      <c r="J152" s="215"/>
      <c r="K152" s="215"/>
      <c r="L152" s="215"/>
      <c r="M152" s="215"/>
      <c r="N152" s="215"/>
      <c r="O152" s="215"/>
      <c r="P152" s="215"/>
      <c r="Q152" s="216"/>
    </row>
    <row r="155" spans="3:17" x14ac:dyDescent="0.3">
      <c r="C155" s="47" t="s">
        <v>411</v>
      </c>
      <c r="D155" s="47"/>
      <c r="E155" s="48"/>
      <c r="F155" s="49" t="s">
        <v>412</v>
      </c>
      <c r="G155" s="49"/>
      <c r="H155" s="49"/>
      <c r="I155" s="49"/>
    </row>
    <row r="156" spans="3:17" ht="15" thickBot="1" x14ac:dyDescent="0.35"/>
    <row r="157" spans="3:17" x14ac:dyDescent="0.3">
      <c r="C157" s="45" t="s">
        <v>400</v>
      </c>
      <c r="D157" s="202" t="s">
        <v>413</v>
      </c>
      <c r="E157" s="203"/>
      <c r="F157" s="203"/>
      <c r="G157" s="203"/>
      <c r="H157" s="203"/>
      <c r="I157" s="203"/>
      <c r="J157" s="203"/>
      <c r="K157" s="203"/>
      <c r="L157" s="203"/>
      <c r="M157" s="203"/>
      <c r="N157" s="203"/>
      <c r="O157" s="203"/>
      <c r="P157" s="203"/>
      <c r="Q157" s="204"/>
    </row>
    <row r="158" spans="3:17" x14ac:dyDescent="0.3">
      <c r="D158" s="205"/>
      <c r="E158" s="180"/>
      <c r="F158" s="180"/>
      <c r="G158" s="180"/>
      <c r="H158" s="180"/>
      <c r="I158" s="180"/>
      <c r="J158" s="180"/>
      <c r="K158" s="180"/>
      <c r="L158" s="180"/>
      <c r="M158" s="180"/>
      <c r="N158" s="180"/>
      <c r="O158" s="180"/>
      <c r="P158" s="180"/>
      <c r="Q158" s="206"/>
    </row>
    <row r="159" spans="3:17" ht="15" thickBot="1" x14ac:dyDescent="0.35">
      <c r="D159" s="228"/>
      <c r="E159" s="207"/>
      <c r="F159" s="207"/>
      <c r="G159" s="207"/>
      <c r="H159" s="207"/>
      <c r="I159" s="207"/>
      <c r="J159" s="207"/>
      <c r="K159" s="207"/>
      <c r="L159" s="207"/>
      <c r="M159" s="207"/>
      <c r="N159" s="207"/>
      <c r="O159" s="207"/>
      <c r="P159" s="207"/>
      <c r="Q159" s="208"/>
    </row>
    <row r="161" spans="2:21" ht="15" thickBot="1" x14ac:dyDescent="0.35"/>
    <row r="162" spans="2:21" x14ac:dyDescent="0.3">
      <c r="C162" s="45" t="s">
        <v>341</v>
      </c>
      <c r="D162" s="209" t="s">
        <v>414</v>
      </c>
      <c r="E162" s="210"/>
      <c r="F162" s="210"/>
      <c r="G162" s="210"/>
      <c r="H162" s="210"/>
      <c r="I162" s="210"/>
      <c r="J162" s="210"/>
      <c r="K162" s="210"/>
      <c r="L162" s="210"/>
      <c r="M162" s="210"/>
      <c r="N162" s="210"/>
      <c r="O162" s="210"/>
      <c r="P162" s="210"/>
      <c r="Q162" s="211"/>
    </row>
    <row r="163" spans="2:21" x14ac:dyDescent="0.3">
      <c r="D163" s="212"/>
      <c r="E163" s="193"/>
      <c r="F163" s="193"/>
      <c r="G163" s="193"/>
      <c r="H163" s="193"/>
      <c r="I163" s="193"/>
      <c r="J163" s="193"/>
      <c r="K163" s="193"/>
      <c r="L163" s="193"/>
      <c r="M163" s="193"/>
      <c r="N163" s="193"/>
      <c r="O163" s="193"/>
      <c r="P163" s="193"/>
      <c r="Q163" s="213"/>
    </row>
    <row r="164" spans="2:21" ht="15" thickBot="1" x14ac:dyDescent="0.35">
      <c r="D164" s="214"/>
      <c r="E164" s="215"/>
      <c r="F164" s="215"/>
      <c r="G164" s="215"/>
      <c r="H164" s="215"/>
      <c r="I164" s="215"/>
      <c r="J164" s="215"/>
      <c r="K164" s="215"/>
      <c r="L164" s="215"/>
      <c r="M164" s="215"/>
      <c r="N164" s="215"/>
      <c r="O164" s="215"/>
      <c r="P164" s="215"/>
      <c r="Q164" s="216"/>
    </row>
    <row r="165" spans="2:21" ht="15" thickBot="1" x14ac:dyDescent="0.35"/>
    <row r="166" spans="2:21" x14ac:dyDescent="0.3">
      <c r="C166" s="45" t="s">
        <v>415</v>
      </c>
      <c r="D166" s="209" t="s">
        <v>416</v>
      </c>
      <c r="E166" s="267"/>
      <c r="F166" s="267"/>
      <c r="G166" s="267"/>
      <c r="H166" s="267"/>
      <c r="I166" s="267"/>
      <c r="J166" s="267"/>
      <c r="K166" s="267"/>
      <c r="L166" s="267"/>
      <c r="M166" s="267"/>
      <c r="N166" s="267"/>
      <c r="O166" s="267"/>
      <c r="P166" s="267"/>
      <c r="Q166" s="268"/>
      <c r="U166" s="50"/>
    </row>
    <row r="167" spans="2:21" x14ac:dyDescent="0.3">
      <c r="D167" s="269"/>
      <c r="E167" s="270"/>
      <c r="F167" s="270"/>
      <c r="G167" s="270"/>
      <c r="H167" s="270"/>
      <c r="I167" s="270"/>
      <c r="J167" s="270"/>
      <c r="K167" s="270"/>
      <c r="L167" s="270"/>
      <c r="M167" s="270"/>
      <c r="N167" s="270"/>
      <c r="O167" s="270"/>
      <c r="P167" s="270"/>
      <c r="Q167" s="271"/>
    </row>
    <row r="168" spans="2:21" ht="15" thickBot="1" x14ac:dyDescent="0.35">
      <c r="D168" s="272"/>
      <c r="E168" s="273"/>
      <c r="F168" s="273"/>
      <c r="G168" s="273"/>
      <c r="H168" s="273"/>
      <c r="I168" s="273"/>
      <c r="J168" s="273"/>
      <c r="K168" s="273"/>
      <c r="L168" s="273"/>
      <c r="M168" s="273"/>
      <c r="N168" s="273"/>
      <c r="O168" s="273"/>
      <c r="P168" s="273"/>
      <c r="Q168" s="274"/>
    </row>
    <row r="171" spans="2:21" x14ac:dyDescent="0.3">
      <c r="B171" s="167" t="s">
        <v>417</v>
      </c>
      <c r="C171" s="167"/>
      <c r="D171" s="167"/>
      <c r="E171" s="198" t="s">
        <v>418</v>
      </c>
      <c r="F171" s="198"/>
      <c r="G171" s="198"/>
      <c r="H171" s="198"/>
      <c r="I171" s="198"/>
      <c r="J171" s="198"/>
    </row>
    <row r="172" spans="2:21" ht="15" thickBot="1" x14ac:dyDescent="0.35"/>
    <row r="173" spans="2:21" ht="14.4" customHeight="1" x14ac:dyDescent="0.3">
      <c r="C173" s="45" t="s">
        <v>419</v>
      </c>
      <c r="D173" s="202" t="s">
        <v>420</v>
      </c>
      <c r="E173" s="203"/>
      <c r="F173" s="203"/>
      <c r="G173" s="203"/>
      <c r="H173" s="203"/>
      <c r="I173" s="203"/>
      <c r="J173" s="203"/>
      <c r="K173" s="203"/>
      <c r="L173" s="203"/>
      <c r="M173" s="203"/>
      <c r="N173" s="203"/>
      <c r="O173" s="203"/>
      <c r="P173" s="203"/>
      <c r="Q173" s="204"/>
    </row>
    <row r="174" spans="2:21" x14ac:dyDescent="0.3">
      <c r="D174" s="205"/>
      <c r="E174" s="180"/>
      <c r="F174" s="180"/>
      <c r="G174" s="180"/>
      <c r="H174" s="180"/>
      <c r="I174" s="180"/>
      <c r="J174" s="180"/>
      <c r="K174" s="180"/>
      <c r="L174" s="180"/>
      <c r="M174" s="180"/>
      <c r="N174" s="180"/>
      <c r="O174" s="180"/>
      <c r="P174" s="180"/>
      <c r="Q174" s="206"/>
    </row>
    <row r="175" spans="2:21" x14ac:dyDescent="0.3">
      <c r="D175" s="205"/>
      <c r="E175" s="180"/>
      <c r="F175" s="180"/>
      <c r="G175" s="180"/>
      <c r="H175" s="180"/>
      <c r="I175" s="180"/>
      <c r="J175" s="180"/>
      <c r="K175" s="180"/>
      <c r="L175" s="180"/>
      <c r="M175" s="180"/>
      <c r="N175" s="180"/>
      <c r="O175" s="180"/>
      <c r="P175" s="180"/>
      <c r="Q175" s="206"/>
    </row>
    <row r="176" spans="2:21" ht="15" thickBot="1" x14ac:dyDescent="0.35">
      <c r="D176" s="228"/>
      <c r="E176" s="207"/>
      <c r="F176" s="207"/>
      <c r="G176" s="207"/>
      <c r="H176" s="207"/>
      <c r="I176" s="207"/>
      <c r="J176" s="207"/>
      <c r="K176" s="207"/>
      <c r="L176" s="207"/>
      <c r="M176" s="207"/>
      <c r="N176" s="207"/>
      <c r="O176" s="207"/>
      <c r="P176" s="207"/>
      <c r="Q176" s="208"/>
    </row>
    <row r="177" spans="2:17" ht="15" thickBot="1" x14ac:dyDescent="0.35">
      <c r="C177" s="45"/>
    </row>
    <row r="178" spans="2:17" x14ac:dyDescent="0.3">
      <c r="C178" s="45" t="s">
        <v>402</v>
      </c>
      <c r="D178" s="220" t="s">
        <v>421</v>
      </c>
      <c r="E178" s="221"/>
      <c r="F178" s="221"/>
      <c r="G178" s="221"/>
      <c r="H178" s="221"/>
      <c r="I178" s="221"/>
      <c r="J178" s="221"/>
      <c r="K178" s="221"/>
      <c r="L178" s="221"/>
      <c r="M178" s="221"/>
      <c r="N178" s="221"/>
      <c r="O178" s="221"/>
      <c r="P178" s="221"/>
      <c r="Q178" s="222"/>
    </row>
    <row r="179" spans="2:17" x14ac:dyDescent="0.3">
      <c r="D179" s="223"/>
      <c r="E179" s="224"/>
      <c r="F179" s="224"/>
      <c r="G179" s="224"/>
      <c r="H179" s="224"/>
      <c r="I179" s="224"/>
      <c r="J179" s="224"/>
      <c r="K179" s="224"/>
      <c r="L179" s="224"/>
      <c r="M179" s="224"/>
      <c r="N179" s="224"/>
      <c r="O179" s="224"/>
      <c r="P179" s="224"/>
      <c r="Q179" s="225"/>
    </row>
    <row r="180" spans="2:17" ht="15" thickBot="1" x14ac:dyDescent="0.35">
      <c r="D180" s="247"/>
      <c r="E180" s="226"/>
      <c r="F180" s="226"/>
      <c r="G180" s="226"/>
      <c r="H180" s="226"/>
      <c r="I180" s="226"/>
      <c r="J180" s="226"/>
      <c r="K180" s="226"/>
      <c r="L180" s="226"/>
      <c r="M180" s="226"/>
      <c r="N180" s="226"/>
      <c r="O180" s="226"/>
      <c r="P180" s="226"/>
      <c r="Q180" s="227"/>
    </row>
    <row r="181" spans="2:17" ht="15" thickBot="1" x14ac:dyDescent="0.35"/>
    <row r="182" spans="2:17" x14ac:dyDescent="0.3">
      <c r="C182" s="45" t="s">
        <v>345</v>
      </c>
      <c r="D182" s="209" t="s">
        <v>422</v>
      </c>
      <c r="E182" s="210"/>
      <c r="F182" s="210"/>
      <c r="G182" s="210"/>
      <c r="H182" s="210"/>
      <c r="I182" s="210"/>
      <c r="J182" s="210"/>
      <c r="K182" s="210"/>
      <c r="L182" s="210"/>
      <c r="M182" s="210"/>
      <c r="N182" s="210"/>
      <c r="O182" s="210"/>
      <c r="P182" s="210"/>
      <c r="Q182" s="211"/>
    </row>
    <row r="183" spans="2:17" x14ac:dyDescent="0.3">
      <c r="D183" s="212"/>
      <c r="E183" s="193"/>
      <c r="F183" s="193"/>
      <c r="G183" s="193"/>
      <c r="H183" s="193"/>
      <c r="I183" s="193"/>
      <c r="J183" s="193"/>
      <c r="K183" s="193"/>
      <c r="L183" s="193"/>
      <c r="M183" s="193"/>
      <c r="N183" s="193"/>
      <c r="O183" s="193"/>
      <c r="P183" s="193"/>
      <c r="Q183" s="213"/>
    </row>
    <row r="184" spans="2:17" x14ac:dyDescent="0.3">
      <c r="D184" s="212"/>
      <c r="E184" s="193"/>
      <c r="F184" s="193"/>
      <c r="G184" s="193"/>
      <c r="H184" s="193"/>
      <c r="I184" s="193"/>
      <c r="J184" s="193"/>
      <c r="K184" s="193"/>
      <c r="L184" s="193"/>
      <c r="M184" s="193"/>
      <c r="N184" s="193"/>
      <c r="O184" s="193"/>
      <c r="P184" s="193"/>
      <c r="Q184" s="213"/>
    </row>
    <row r="185" spans="2:17" ht="15" thickBot="1" x14ac:dyDescent="0.35">
      <c r="D185" s="214"/>
      <c r="E185" s="215"/>
      <c r="F185" s="215"/>
      <c r="G185" s="215"/>
      <c r="H185" s="215"/>
      <c r="I185" s="215"/>
      <c r="J185" s="215"/>
      <c r="K185" s="215"/>
      <c r="L185" s="215"/>
      <c r="M185" s="215"/>
      <c r="N185" s="215"/>
      <c r="O185" s="215"/>
      <c r="P185" s="215"/>
      <c r="Q185" s="216"/>
    </row>
    <row r="187" spans="2:17" x14ac:dyDescent="0.3">
      <c r="B187" s="167" t="s">
        <v>423</v>
      </c>
      <c r="C187" s="167"/>
      <c r="D187" s="167"/>
      <c r="E187" s="198" t="s">
        <v>424</v>
      </c>
      <c r="F187" s="198"/>
    </row>
    <row r="188" spans="2:17" ht="15" thickBot="1" x14ac:dyDescent="0.35"/>
    <row r="189" spans="2:17" x14ac:dyDescent="0.3">
      <c r="C189" s="45" t="s">
        <v>419</v>
      </c>
      <c r="D189" s="209" t="s">
        <v>477</v>
      </c>
      <c r="E189" s="210"/>
      <c r="F189" s="210"/>
      <c r="G189" s="210"/>
      <c r="H189" s="210"/>
      <c r="I189" s="210"/>
      <c r="J189" s="210"/>
      <c r="K189" s="210"/>
      <c r="L189" s="210"/>
      <c r="M189" s="210"/>
      <c r="N189" s="210"/>
      <c r="O189" s="210"/>
      <c r="P189" s="210"/>
      <c r="Q189" s="211"/>
    </row>
    <row r="190" spans="2:17" x14ac:dyDescent="0.3">
      <c r="D190" s="212"/>
      <c r="E190" s="193"/>
      <c r="F190" s="193"/>
      <c r="G190" s="193"/>
      <c r="H190" s="193"/>
      <c r="I190" s="193"/>
      <c r="J190" s="193"/>
      <c r="K190" s="193"/>
      <c r="L190" s="193"/>
      <c r="M190" s="193"/>
      <c r="N190" s="193"/>
      <c r="O190" s="193"/>
      <c r="P190" s="193"/>
      <c r="Q190" s="213"/>
    </row>
    <row r="191" spans="2:17" x14ac:dyDescent="0.3">
      <c r="D191" s="212"/>
      <c r="E191" s="193"/>
      <c r="F191" s="193"/>
      <c r="G191" s="193"/>
      <c r="H191" s="193"/>
      <c r="I191" s="193"/>
      <c r="J191" s="193"/>
      <c r="K191" s="193"/>
      <c r="L191" s="193"/>
      <c r="M191" s="193"/>
      <c r="N191" s="193"/>
      <c r="O191" s="193"/>
      <c r="P191" s="193"/>
      <c r="Q191" s="213"/>
    </row>
    <row r="192" spans="2:17" x14ac:dyDescent="0.3">
      <c r="D192" s="212"/>
      <c r="E192" s="193"/>
      <c r="F192" s="193"/>
      <c r="G192" s="193"/>
      <c r="H192" s="193"/>
      <c r="I192" s="193"/>
      <c r="J192" s="193"/>
      <c r="K192" s="193"/>
      <c r="L192" s="193"/>
      <c r="M192" s="193"/>
      <c r="N192" s="193"/>
      <c r="O192" s="193"/>
      <c r="P192" s="193"/>
      <c r="Q192" s="213"/>
    </row>
    <row r="193" spans="2:17" ht="15" thickBot="1" x14ac:dyDescent="0.35">
      <c r="D193" s="214"/>
      <c r="E193" s="215"/>
      <c r="F193" s="215"/>
      <c r="G193" s="215"/>
      <c r="H193" s="215"/>
      <c r="I193" s="215"/>
      <c r="J193" s="215"/>
      <c r="K193" s="215"/>
      <c r="L193" s="215"/>
      <c r="M193" s="215"/>
      <c r="N193" s="215"/>
      <c r="O193" s="215"/>
      <c r="P193" s="215"/>
      <c r="Q193" s="216"/>
    </row>
    <row r="195" spans="2:17" ht="15" thickBot="1" x14ac:dyDescent="0.35"/>
    <row r="196" spans="2:17" x14ac:dyDescent="0.3">
      <c r="C196" s="45" t="s">
        <v>425</v>
      </c>
      <c r="D196" s="209" t="s">
        <v>426</v>
      </c>
      <c r="E196" s="210"/>
      <c r="F196" s="210"/>
      <c r="G196" s="210"/>
      <c r="H196" s="210"/>
      <c r="I196" s="210"/>
      <c r="J196" s="210"/>
      <c r="K196" s="210"/>
      <c r="L196" s="210"/>
      <c r="M196" s="210"/>
      <c r="N196" s="210"/>
      <c r="O196" s="210"/>
      <c r="P196" s="210"/>
      <c r="Q196" s="211"/>
    </row>
    <row r="197" spans="2:17" x14ac:dyDescent="0.3">
      <c r="D197" s="212"/>
      <c r="E197" s="193"/>
      <c r="F197" s="193"/>
      <c r="G197" s="193"/>
      <c r="H197" s="193"/>
      <c r="I197" s="193"/>
      <c r="J197" s="193"/>
      <c r="K197" s="193"/>
      <c r="L197" s="193"/>
      <c r="M197" s="193"/>
      <c r="N197" s="193"/>
      <c r="O197" s="193"/>
      <c r="P197" s="193"/>
      <c r="Q197" s="213"/>
    </row>
    <row r="198" spans="2:17" x14ac:dyDescent="0.3">
      <c r="D198" s="212"/>
      <c r="E198" s="193"/>
      <c r="F198" s="193"/>
      <c r="G198" s="193"/>
      <c r="H198" s="193"/>
      <c r="I198" s="193"/>
      <c r="J198" s="193"/>
      <c r="K198" s="193"/>
      <c r="L198" s="193"/>
      <c r="M198" s="193"/>
      <c r="N198" s="193"/>
      <c r="O198" s="193"/>
      <c r="P198" s="193"/>
      <c r="Q198" s="213"/>
    </row>
    <row r="199" spans="2:17" ht="15" thickBot="1" x14ac:dyDescent="0.35">
      <c r="D199" s="214"/>
      <c r="E199" s="215"/>
      <c r="F199" s="215"/>
      <c r="G199" s="215"/>
      <c r="H199" s="215"/>
      <c r="I199" s="215"/>
      <c r="J199" s="215"/>
      <c r="K199" s="215"/>
      <c r="L199" s="215"/>
      <c r="M199" s="215"/>
      <c r="N199" s="215"/>
      <c r="O199" s="215"/>
      <c r="P199" s="215"/>
      <c r="Q199" s="216"/>
    </row>
    <row r="200" spans="2:17" ht="15" thickBot="1" x14ac:dyDescent="0.35"/>
    <row r="201" spans="2:17" x14ac:dyDescent="0.3">
      <c r="C201" s="45" t="s">
        <v>409</v>
      </c>
      <c r="D201" s="209" t="s">
        <v>427</v>
      </c>
      <c r="E201" s="210"/>
      <c r="F201" s="210"/>
      <c r="G201" s="210"/>
      <c r="H201" s="210"/>
      <c r="I201" s="210"/>
      <c r="J201" s="210"/>
      <c r="K201" s="210"/>
      <c r="L201" s="210"/>
      <c r="M201" s="210"/>
      <c r="N201" s="210"/>
      <c r="O201" s="210"/>
      <c r="P201" s="210"/>
      <c r="Q201" s="211"/>
    </row>
    <row r="202" spans="2:17" x14ac:dyDescent="0.3">
      <c r="D202" s="212"/>
      <c r="E202" s="193"/>
      <c r="F202" s="193"/>
      <c r="G202" s="193"/>
      <c r="H202" s="193"/>
      <c r="I202" s="193"/>
      <c r="J202" s="193"/>
      <c r="K202" s="193"/>
      <c r="L202" s="193"/>
      <c r="M202" s="193"/>
      <c r="N202" s="193"/>
      <c r="O202" s="193"/>
      <c r="P202" s="193"/>
      <c r="Q202" s="213"/>
    </row>
    <row r="203" spans="2:17" x14ac:dyDescent="0.3">
      <c r="D203" s="212"/>
      <c r="E203" s="193"/>
      <c r="F203" s="193"/>
      <c r="G203" s="193"/>
      <c r="H203" s="193"/>
      <c r="I203" s="193"/>
      <c r="J203" s="193"/>
      <c r="K203" s="193"/>
      <c r="L203" s="193"/>
      <c r="M203" s="193"/>
      <c r="N203" s="193"/>
      <c r="O203" s="193"/>
      <c r="P203" s="193"/>
      <c r="Q203" s="213"/>
    </row>
    <row r="204" spans="2:17" ht="15" thickBot="1" x14ac:dyDescent="0.35">
      <c r="D204" s="214"/>
      <c r="E204" s="215"/>
      <c r="F204" s="215"/>
      <c r="G204" s="215"/>
      <c r="H204" s="215"/>
      <c r="I204" s="215"/>
      <c r="J204" s="215"/>
      <c r="K204" s="215"/>
      <c r="L204" s="215"/>
      <c r="M204" s="215"/>
      <c r="N204" s="215"/>
      <c r="O204" s="215"/>
      <c r="P204" s="215"/>
      <c r="Q204" s="216"/>
    </row>
    <row r="206" spans="2:17" x14ac:dyDescent="0.3">
      <c r="B206" s="167" t="s">
        <v>428</v>
      </c>
      <c r="C206" s="167"/>
      <c r="D206" s="167"/>
      <c r="E206" s="198" t="s">
        <v>429</v>
      </c>
      <c r="F206" s="198"/>
      <c r="G206" s="198"/>
      <c r="H206" s="198"/>
      <c r="I206" s="198"/>
      <c r="J206" s="198"/>
      <c r="K206" s="198"/>
      <c r="L206" s="198"/>
      <c r="M206" s="198"/>
    </row>
    <row r="207" spans="2:17" ht="15" thickBot="1" x14ac:dyDescent="0.35"/>
    <row r="208" spans="2:17" ht="14.4" customHeight="1" x14ac:dyDescent="0.3">
      <c r="C208" s="45" t="s">
        <v>400</v>
      </c>
      <c r="D208" s="209" t="s">
        <v>430</v>
      </c>
      <c r="E208" s="210"/>
      <c r="F208" s="210"/>
      <c r="G208" s="210"/>
      <c r="H208" s="210"/>
      <c r="I208" s="210"/>
      <c r="J208" s="210"/>
      <c r="K208" s="210"/>
      <c r="L208" s="210"/>
      <c r="M208" s="210"/>
      <c r="N208" s="210"/>
      <c r="O208" s="210"/>
      <c r="P208" s="210"/>
      <c r="Q208" s="211"/>
    </row>
    <row r="209" spans="3:17" x14ac:dyDescent="0.3">
      <c r="D209" s="212"/>
      <c r="E209" s="193"/>
      <c r="F209" s="193"/>
      <c r="G209" s="193"/>
      <c r="H209" s="193"/>
      <c r="I209" s="193"/>
      <c r="J209" s="193"/>
      <c r="K209" s="193"/>
      <c r="L209" s="193"/>
      <c r="M209" s="193"/>
      <c r="N209" s="193"/>
      <c r="O209" s="193"/>
      <c r="P209" s="193"/>
      <c r="Q209" s="213"/>
    </row>
    <row r="210" spans="3:17" ht="15" thickBot="1" x14ac:dyDescent="0.35">
      <c r="D210" s="214"/>
      <c r="E210" s="215"/>
      <c r="F210" s="215"/>
      <c r="G210" s="215"/>
      <c r="H210" s="215"/>
      <c r="I210" s="215"/>
      <c r="J210" s="215"/>
      <c r="K210" s="215"/>
      <c r="L210" s="215"/>
      <c r="M210" s="215"/>
      <c r="N210" s="215"/>
      <c r="O210" s="215"/>
      <c r="P210" s="215"/>
      <c r="Q210" s="216"/>
    </row>
    <row r="211" spans="3:17" x14ac:dyDescent="0.3">
      <c r="D211" s="46"/>
      <c r="E211" s="46"/>
      <c r="F211" s="46"/>
      <c r="G211" s="46"/>
      <c r="H211" s="46"/>
      <c r="I211" s="46"/>
      <c r="J211" s="46"/>
      <c r="K211" s="46"/>
      <c r="L211" s="46"/>
      <c r="M211" s="46"/>
      <c r="N211" s="46"/>
      <c r="O211" s="46"/>
      <c r="P211" s="46"/>
      <c r="Q211" s="46"/>
    </row>
    <row r="212" spans="3:17" x14ac:dyDescent="0.3">
      <c r="D212" s="46"/>
      <c r="E212" s="46"/>
      <c r="F212" s="46"/>
      <c r="G212" s="46"/>
      <c r="H212" s="46"/>
      <c r="I212" s="46"/>
      <c r="J212" s="46"/>
      <c r="K212" s="46"/>
      <c r="L212" s="46"/>
      <c r="M212" s="46"/>
      <c r="N212" s="46"/>
      <c r="O212" s="46"/>
      <c r="P212" s="46"/>
      <c r="Q212" s="46"/>
    </row>
    <row r="213" spans="3:17" x14ac:dyDescent="0.3">
      <c r="D213" s="46"/>
      <c r="E213" s="46"/>
      <c r="F213" s="46"/>
      <c r="G213" s="46"/>
      <c r="H213" s="46"/>
      <c r="I213" s="46"/>
      <c r="J213" s="46"/>
      <c r="K213" s="46"/>
      <c r="L213" s="46"/>
      <c r="M213" s="46"/>
      <c r="N213" s="46"/>
      <c r="O213" s="46"/>
      <c r="P213" s="46"/>
      <c r="Q213" s="46"/>
    </row>
    <row r="214" spans="3:17" ht="15" thickBot="1" x14ac:dyDescent="0.35"/>
    <row r="215" spans="3:17" x14ac:dyDescent="0.3">
      <c r="C215" s="45" t="s">
        <v>402</v>
      </c>
      <c r="D215" s="209" t="s">
        <v>431</v>
      </c>
      <c r="E215" s="210"/>
      <c r="F215" s="210"/>
      <c r="G215" s="210"/>
      <c r="H215" s="210"/>
      <c r="I215" s="210"/>
      <c r="J215" s="210"/>
      <c r="K215" s="210"/>
      <c r="L215" s="210"/>
      <c r="M215" s="210"/>
      <c r="N215" s="210"/>
      <c r="O215" s="210"/>
      <c r="P215" s="210"/>
      <c r="Q215" s="211"/>
    </row>
    <row r="216" spans="3:17" x14ac:dyDescent="0.3">
      <c r="D216" s="212"/>
      <c r="E216" s="193"/>
      <c r="F216" s="193"/>
      <c r="G216" s="193"/>
      <c r="H216" s="193"/>
      <c r="I216" s="193"/>
      <c r="J216" s="193"/>
      <c r="K216" s="193"/>
      <c r="L216" s="193"/>
      <c r="M216" s="193"/>
      <c r="N216" s="193"/>
      <c r="O216" s="193"/>
      <c r="P216" s="193"/>
      <c r="Q216" s="213"/>
    </row>
    <row r="217" spans="3:17" x14ac:dyDescent="0.3">
      <c r="D217" s="212"/>
      <c r="E217" s="193"/>
      <c r="F217" s="193"/>
      <c r="G217" s="193"/>
      <c r="H217" s="193"/>
      <c r="I217" s="193"/>
      <c r="J217" s="193"/>
      <c r="K217" s="193"/>
      <c r="L217" s="193"/>
      <c r="M217" s="193"/>
      <c r="N217" s="193"/>
      <c r="O217" s="193"/>
      <c r="P217" s="193"/>
      <c r="Q217" s="213"/>
    </row>
    <row r="218" spans="3:17" x14ac:dyDescent="0.3">
      <c r="D218" s="212"/>
      <c r="E218" s="193"/>
      <c r="F218" s="193"/>
      <c r="G218" s="193"/>
      <c r="H218" s="193"/>
      <c r="I218" s="193"/>
      <c r="J218" s="193"/>
      <c r="K218" s="193"/>
      <c r="L218" s="193"/>
      <c r="M218" s="193"/>
      <c r="N218" s="193"/>
      <c r="O218" s="193"/>
      <c r="P218" s="193"/>
      <c r="Q218" s="213"/>
    </row>
    <row r="219" spans="3:17" ht="15" thickBot="1" x14ac:dyDescent="0.35">
      <c r="D219" s="214"/>
      <c r="E219" s="215"/>
      <c r="F219" s="215"/>
      <c r="G219" s="215"/>
      <c r="H219" s="215"/>
      <c r="I219" s="215"/>
      <c r="J219" s="215"/>
      <c r="K219" s="215"/>
      <c r="L219" s="215"/>
      <c r="M219" s="215"/>
      <c r="N219" s="215"/>
      <c r="O219" s="215"/>
      <c r="P219" s="215"/>
      <c r="Q219" s="216"/>
    </row>
    <row r="220" spans="3:17" x14ac:dyDescent="0.3">
      <c r="C220" s="45"/>
    </row>
    <row r="221" spans="3:17" ht="15" thickBot="1" x14ac:dyDescent="0.35"/>
    <row r="222" spans="3:17" x14ac:dyDescent="0.3">
      <c r="C222" s="45" t="s">
        <v>415</v>
      </c>
      <c r="D222" s="209" t="s">
        <v>432</v>
      </c>
      <c r="E222" s="210"/>
      <c r="F222" s="210"/>
      <c r="G222" s="210"/>
      <c r="H222" s="210"/>
      <c r="I222" s="210"/>
      <c r="J222" s="210"/>
      <c r="K222" s="210"/>
      <c r="L222" s="210"/>
      <c r="M222" s="210"/>
      <c r="N222" s="210"/>
      <c r="O222" s="210"/>
      <c r="P222" s="210"/>
      <c r="Q222" s="211"/>
    </row>
    <row r="223" spans="3:17" x14ac:dyDescent="0.3">
      <c r="D223" s="212"/>
      <c r="E223" s="193"/>
      <c r="F223" s="193"/>
      <c r="G223" s="193"/>
      <c r="H223" s="193"/>
      <c r="I223" s="193"/>
      <c r="J223" s="193"/>
      <c r="K223" s="193"/>
      <c r="L223" s="193"/>
      <c r="M223" s="193"/>
      <c r="N223" s="193"/>
      <c r="O223" s="193"/>
      <c r="P223" s="193"/>
      <c r="Q223" s="213"/>
    </row>
    <row r="224" spans="3:17" ht="15" thickBot="1" x14ac:dyDescent="0.35">
      <c r="D224" s="214"/>
      <c r="E224" s="215"/>
      <c r="F224" s="215"/>
      <c r="G224" s="215"/>
      <c r="H224" s="215"/>
      <c r="I224" s="215"/>
      <c r="J224" s="215"/>
      <c r="K224" s="215"/>
      <c r="L224" s="215"/>
      <c r="M224" s="215"/>
      <c r="N224" s="215"/>
      <c r="O224" s="215"/>
      <c r="P224" s="215"/>
      <c r="Q224" s="216"/>
    </row>
    <row r="226" spans="2:17" x14ac:dyDescent="0.3">
      <c r="B226" s="167" t="s">
        <v>390</v>
      </c>
      <c r="C226" s="167"/>
      <c r="D226" s="167"/>
      <c r="E226" s="198" t="s">
        <v>433</v>
      </c>
      <c r="F226" s="198"/>
      <c r="G226" s="198"/>
      <c r="H226" s="198"/>
      <c r="I226" s="198"/>
      <c r="J226" s="198"/>
    </row>
    <row r="227" spans="2:17" ht="15" thickBot="1" x14ac:dyDescent="0.35"/>
    <row r="228" spans="2:17" x14ac:dyDescent="0.3">
      <c r="C228" s="45" t="s">
        <v>400</v>
      </c>
      <c r="D228" s="261" t="s">
        <v>434</v>
      </c>
      <c r="E228" s="262"/>
      <c r="F228" s="262"/>
      <c r="G228" s="262"/>
      <c r="H228" s="262"/>
      <c r="I228" s="262"/>
      <c r="J228" s="262"/>
      <c r="K228" s="262"/>
      <c r="L228" s="262"/>
      <c r="M228" s="262"/>
      <c r="N228" s="262"/>
      <c r="O228" s="262"/>
      <c r="P228" s="262"/>
      <c r="Q228" s="263"/>
    </row>
    <row r="229" spans="2:17" ht="15" thickBot="1" x14ac:dyDescent="0.35">
      <c r="D229" s="264"/>
      <c r="E229" s="265"/>
      <c r="F229" s="265"/>
      <c r="G229" s="265"/>
      <c r="H229" s="265"/>
      <c r="I229" s="265"/>
      <c r="J229" s="265"/>
      <c r="K229" s="265"/>
      <c r="L229" s="265"/>
      <c r="M229" s="265"/>
      <c r="N229" s="265"/>
      <c r="O229" s="265"/>
      <c r="P229" s="265"/>
      <c r="Q229" s="266"/>
    </row>
    <row r="230" spans="2:17" x14ac:dyDescent="0.3">
      <c r="D230" s="51"/>
      <c r="E230" s="51"/>
      <c r="F230" s="51"/>
      <c r="G230" s="51"/>
      <c r="H230" s="51"/>
      <c r="I230" s="51"/>
      <c r="J230" s="51"/>
      <c r="K230" s="51"/>
      <c r="L230" s="51"/>
      <c r="M230" s="51"/>
      <c r="N230" s="51"/>
      <c r="O230" s="51"/>
      <c r="P230" s="51"/>
      <c r="Q230" s="51"/>
    </row>
    <row r="232" spans="2:17" ht="15" thickBot="1" x14ac:dyDescent="0.35"/>
    <row r="233" spans="2:17" ht="14.4" customHeight="1" x14ac:dyDescent="0.3">
      <c r="C233" s="45" t="s">
        <v>402</v>
      </c>
      <c r="D233" s="209" t="s">
        <v>435</v>
      </c>
      <c r="E233" s="210"/>
      <c r="F233" s="210"/>
      <c r="G233" s="210"/>
      <c r="H233" s="210"/>
      <c r="I233" s="210"/>
      <c r="J233" s="210"/>
      <c r="K233" s="210"/>
      <c r="L233" s="210"/>
      <c r="M233" s="210"/>
      <c r="N233" s="210"/>
      <c r="O233" s="210"/>
      <c r="P233" s="210"/>
      <c r="Q233" s="211"/>
    </row>
    <row r="234" spans="2:17" ht="15" thickBot="1" x14ac:dyDescent="0.35">
      <c r="D234" s="214"/>
      <c r="E234" s="215"/>
      <c r="F234" s="215"/>
      <c r="G234" s="215"/>
      <c r="H234" s="215"/>
      <c r="I234" s="215"/>
      <c r="J234" s="215"/>
      <c r="K234" s="215"/>
      <c r="L234" s="215"/>
      <c r="M234" s="215"/>
      <c r="N234" s="215"/>
      <c r="O234" s="215"/>
      <c r="P234" s="215"/>
      <c r="Q234" s="216"/>
    </row>
    <row r="235" spans="2:17" x14ac:dyDescent="0.3">
      <c r="D235" s="46"/>
      <c r="E235" s="46"/>
      <c r="F235" s="46"/>
      <c r="G235" s="46"/>
      <c r="H235" s="46"/>
      <c r="I235" s="46"/>
      <c r="J235" s="46"/>
      <c r="K235" s="46"/>
      <c r="L235" s="46"/>
      <c r="M235" s="46"/>
      <c r="N235" s="46"/>
      <c r="O235" s="46"/>
      <c r="P235" s="46"/>
      <c r="Q235" s="46"/>
    </row>
    <row r="236" spans="2:17" ht="15" thickBot="1" x14ac:dyDescent="0.35"/>
    <row r="237" spans="2:17" x14ac:dyDescent="0.3">
      <c r="C237" s="45" t="s">
        <v>436</v>
      </c>
      <c r="D237" s="209" t="s">
        <v>437</v>
      </c>
      <c r="E237" s="210"/>
      <c r="F237" s="210"/>
      <c r="G237" s="210"/>
      <c r="H237" s="210"/>
      <c r="I237" s="210"/>
      <c r="J237" s="210"/>
      <c r="K237" s="210"/>
      <c r="L237" s="210"/>
      <c r="M237" s="210"/>
      <c r="N237" s="210"/>
      <c r="O237" s="210"/>
      <c r="P237" s="210"/>
      <c r="Q237" s="211"/>
    </row>
    <row r="238" spans="2:17" x14ac:dyDescent="0.3">
      <c r="D238" s="212"/>
      <c r="E238" s="193"/>
      <c r="F238" s="193"/>
      <c r="G238" s="193"/>
      <c r="H238" s="193"/>
      <c r="I238" s="193"/>
      <c r="J238" s="193"/>
      <c r="K238" s="193"/>
      <c r="L238" s="193"/>
      <c r="M238" s="193"/>
      <c r="N238" s="193"/>
      <c r="O238" s="193"/>
      <c r="P238" s="193"/>
      <c r="Q238" s="213"/>
    </row>
    <row r="239" spans="2:17" x14ac:dyDescent="0.3">
      <c r="D239" s="212"/>
      <c r="E239" s="193"/>
      <c r="F239" s="193"/>
      <c r="G239" s="193"/>
      <c r="H239" s="193"/>
      <c r="I239" s="193"/>
      <c r="J239" s="193"/>
      <c r="K239" s="193"/>
      <c r="L239" s="193"/>
      <c r="M239" s="193"/>
      <c r="N239" s="193"/>
      <c r="O239" s="193"/>
      <c r="P239" s="193"/>
      <c r="Q239" s="213"/>
    </row>
    <row r="240" spans="2:17" x14ac:dyDescent="0.3">
      <c r="D240" s="212"/>
      <c r="E240" s="193"/>
      <c r="F240" s="193"/>
      <c r="G240" s="193"/>
      <c r="H240" s="193"/>
      <c r="I240" s="193"/>
      <c r="J240" s="193"/>
      <c r="K240" s="193"/>
      <c r="L240" s="193"/>
      <c r="M240" s="193"/>
      <c r="N240" s="193"/>
      <c r="O240" s="193"/>
      <c r="P240" s="193"/>
      <c r="Q240" s="213"/>
    </row>
    <row r="241" spans="3:17" ht="15" thickBot="1" x14ac:dyDescent="0.35">
      <c r="D241" s="214"/>
      <c r="E241" s="215"/>
      <c r="F241" s="215"/>
      <c r="G241" s="215"/>
      <c r="H241" s="215"/>
      <c r="I241" s="215"/>
      <c r="J241" s="215"/>
      <c r="K241" s="215"/>
      <c r="L241" s="215"/>
      <c r="M241" s="215"/>
      <c r="N241" s="215"/>
      <c r="O241" s="215"/>
      <c r="P241" s="215"/>
      <c r="Q241" s="216"/>
    </row>
    <row r="245" spans="3:17" x14ac:dyDescent="0.3">
      <c r="C245" s="167" t="s">
        <v>534</v>
      </c>
      <c r="D245" s="167"/>
    </row>
    <row r="247" spans="3:17" x14ac:dyDescent="0.3">
      <c r="D247" s="176" t="s">
        <v>535</v>
      </c>
      <c r="E247" s="177"/>
      <c r="F247" s="177"/>
      <c r="G247" s="177"/>
      <c r="H247" s="177"/>
      <c r="I247" s="177"/>
      <c r="J247" s="177"/>
      <c r="K247" s="177"/>
      <c r="L247" s="177"/>
      <c r="M247" s="177"/>
      <c r="N247" s="177"/>
      <c r="O247" s="177"/>
      <c r="P247" s="177"/>
      <c r="Q247" s="178"/>
    </row>
    <row r="248" spans="3:17" x14ac:dyDescent="0.3">
      <c r="D248" s="179"/>
      <c r="E248" s="180"/>
      <c r="F248" s="180"/>
      <c r="G248" s="180"/>
      <c r="H248" s="180"/>
      <c r="I248" s="180"/>
      <c r="J248" s="180"/>
      <c r="K248" s="180"/>
      <c r="L248" s="180"/>
      <c r="M248" s="180"/>
      <c r="N248" s="180"/>
      <c r="O248" s="180"/>
      <c r="P248" s="180"/>
      <c r="Q248" s="181"/>
    </row>
    <row r="249" spans="3:17" x14ac:dyDescent="0.3">
      <c r="D249" s="179"/>
      <c r="E249" s="180"/>
      <c r="F249" s="180"/>
      <c r="G249" s="180"/>
      <c r="H249" s="180"/>
      <c r="I249" s="180"/>
      <c r="J249" s="180"/>
      <c r="K249" s="180"/>
      <c r="L249" s="180"/>
      <c r="M249" s="180"/>
      <c r="N249" s="180"/>
      <c r="O249" s="180"/>
      <c r="P249" s="180"/>
      <c r="Q249" s="181"/>
    </row>
    <row r="250" spans="3:17" x14ac:dyDescent="0.3">
      <c r="D250" s="182"/>
      <c r="E250" s="183"/>
      <c r="F250" s="183"/>
      <c r="G250" s="183"/>
      <c r="H250" s="183"/>
      <c r="I250" s="183"/>
      <c r="J250" s="183"/>
      <c r="K250" s="183"/>
      <c r="L250" s="183"/>
      <c r="M250" s="183"/>
      <c r="N250" s="183"/>
      <c r="O250" s="183"/>
      <c r="P250" s="183"/>
      <c r="Q250" s="184"/>
    </row>
    <row r="252" spans="3:17" x14ac:dyDescent="0.3">
      <c r="D252" s="176" t="s">
        <v>536</v>
      </c>
      <c r="E252" s="177"/>
      <c r="F252" s="177"/>
      <c r="G252" s="177"/>
      <c r="H252" s="177"/>
      <c r="I252" s="177"/>
      <c r="J252" s="177"/>
      <c r="K252" s="177"/>
      <c r="L252" s="177"/>
      <c r="M252" s="177"/>
      <c r="N252" s="177"/>
      <c r="O252" s="177"/>
      <c r="P252" s="177"/>
      <c r="Q252" s="178"/>
    </row>
    <row r="253" spans="3:17" x14ac:dyDescent="0.3">
      <c r="D253" s="179"/>
      <c r="E253" s="180"/>
      <c r="F253" s="180"/>
      <c r="G253" s="180"/>
      <c r="H253" s="180"/>
      <c r="I253" s="180"/>
      <c r="J253" s="180"/>
      <c r="K253" s="180"/>
      <c r="L253" s="180"/>
      <c r="M253" s="180"/>
      <c r="N253" s="180"/>
      <c r="O253" s="180"/>
      <c r="P253" s="180"/>
      <c r="Q253" s="181"/>
    </row>
    <row r="254" spans="3:17" x14ac:dyDescent="0.3">
      <c r="D254" s="182"/>
      <c r="E254" s="183"/>
      <c r="F254" s="183"/>
      <c r="G254" s="183"/>
      <c r="H254" s="183"/>
      <c r="I254" s="183"/>
      <c r="J254" s="183"/>
      <c r="K254" s="183"/>
      <c r="L254" s="183"/>
      <c r="M254" s="183"/>
      <c r="N254" s="183"/>
      <c r="O254" s="183"/>
      <c r="P254" s="183"/>
      <c r="Q254" s="184"/>
    </row>
    <row r="256" spans="3:17" x14ac:dyDescent="0.3">
      <c r="D256" s="176" t="s">
        <v>537</v>
      </c>
      <c r="E256" s="177"/>
      <c r="F256" s="177"/>
      <c r="G256" s="177"/>
      <c r="H256" s="177"/>
      <c r="I256" s="177"/>
      <c r="J256" s="177"/>
      <c r="K256" s="177"/>
      <c r="L256" s="177"/>
      <c r="M256" s="177"/>
      <c r="N256" s="177"/>
      <c r="O256" s="177"/>
      <c r="P256" s="177"/>
      <c r="Q256" s="178"/>
    </row>
    <row r="257" spans="4:17" x14ac:dyDescent="0.3">
      <c r="D257" s="179"/>
      <c r="E257" s="180"/>
      <c r="F257" s="180"/>
      <c r="G257" s="180"/>
      <c r="H257" s="180"/>
      <c r="I257" s="180"/>
      <c r="J257" s="180"/>
      <c r="K257" s="180"/>
      <c r="L257" s="180"/>
      <c r="M257" s="180"/>
      <c r="N257" s="180"/>
      <c r="O257" s="180"/>
      <c r="P257" s="180"/>
      <c r="Q257" s="181"/>
    </row>
    <row r="258" spans="4:17" x14ac:dyDescent="0.3">
      <c r="D258" s="182"/>
      <c r="E258" s="183"/>
      <c r="F258" s="183"/>
      <c r="G258" s="183"/>
      <c r="H258" s="183"/>
      <c r="I258" s="183"/>
      <c r="J258" s="183"/>
      <c r="K258" s="183"/>
      <c r="L258" s="183"/>
      <c r="M258" s="183"/>
      <c r="N258" s="183"/>
      <c r="O258" s="183"/>
      <c r="P258" s="183"/>
      <c r="Q258" s="184"/>
    </row>
    <row r="260" spans="4:17" x14ac:dyDescent="0.3">
      <c r="D260" s="176" t="s">
        <v>538</v>
      </c>
      <c r="E260" s="177"/>
      <c r="F260" s="177"/>
      <c r="G260" s="177"/>
      <c r="H260" s="177"/>
      <c r="I260" s="177"/>
      <c r="J260" s="177"/>
      <c r="K260" s="177"/>
      <c r="L260" s="177"/>
      <c r="M260" s="177"/>
      <c r="N260" s="177"/>
      <c r="O260" s="177"/>
      <c r="P260" s="177"/>
      <c r="Q260" s="178"/>
    </row>
    <row r="261" spans="4:17" x14ac:dyDescent="0.3">
      <c r="D261" s="179"/>
      <c r="E261" s="180"/>
      <c r="F261" s="180"/>
      <c r="G261" s="180"/>
      <c r="H261" s="180"/>
      <c r="I261" s="180"/>
      <c r="J261" s="180"/>
      <c r="K261" s="180"/>
      <c r="L261" s="180"/>
      <c r="M261" s="180"/>
      <c r="N261" s="180"/>
      <c r="O261" s="180"/>
      <c r="P261" s="180"/>
      <c r="Q261" s="181"/>
    </row>
    <row r="262" spans="4:17" x14ac:dyDescent="0.3">
      <c r="D262" s="182"/>
      <c r="E262" s="183"/>
      <c r="F262" s="183"/>
      <c r="G262" s="183"/>
      <c r="H262" s="183"/>
      <c r="I262" s="183"/>
      <c r="J262" s="183"/>
      <c r="K262" s="183"/>
      <c r="L262" s="183"/>
      <c r="M262" s="183"/>
      <c r="N262" s="183"/>
      <c r="O262" s="183"/>
      <c r="P262" s="183"/>
      <c r="Q262" s="184"/>
    </row>
    <row r="265" spans="4:17" x14ac:dyDescent="0.3">
      <c r="D265" s="167" t="s">
        <v>539</v>
      </c>
      <c r="E265" s="198"/>
      <c r="F265" s="198"/>
      <c r="G265" s="198"/>
      <c r="H265" s="198"/>
      <c r="I265" s="198"/>
      <c r="J265" s="198"/>
    </row>
    <row r="266" spans="4:17" x14ac:dyDescent="0.3">
      <c r="D266" s="134"/>
      <c r="E266" s="135"/>
      <c r="F266" s="135"/>
      <c r="G266" s="135"/>
      <c r="H266" s="135"/>
      <c r="I266" s="135"/>
      <c r="J266" s="135"/>
    </row>
    <row r="267" spans="4:17" x14ac:dyDescent="0.3">
      <c r="D267" s="176" t="s">
        <v>540</v>
      </c>
      <c r="E267" s="177"/>
      <c r="F267" s="177"/>
      <c r="G267" s="177"/>
      <c r="H267" s="177"/>
      <c r="I267" s="177"/>
      <c r="J267" s="177"/>
      <c r="K267" s="177"/>
      <c r="L267" s="177"/>
      <c r="M267" s="177"/>
      <c r="N267" s="177"/>
      <c r="O267" s="177"/>
      <c r="P267" s="177"/>
      <c r="Q267" s="178"/>
    </row>
    <row r="268" spans="4:17" x14ac:dyDescent="0.3">
      <c r="D268" s="179"/>
      <c r="E268" s="180"/>
      <c r="F268" s="180"/>
      <c r="G268" s="180"/>
      <c r="H268" s="180"/>
      <c r="I268" s="180"/>
      <c r="J268" s="180"/>
      <c r="K268" s="180"/>
      <c r="L268" s="180"/>
      <c r="M268" s="180"/>
      <c r="N268" s="180"/>
      <c r="O268" s="180"/>
      <c r="P268" s="180"/>
      <c r="Q268" s="181"/>
    </row>
    <row r="269" spans="4:17" x14ac:dyDescent="0.3">
      <c r="D269" s="182"/>
      <c r="E269" s="183"/>
      <c r="F269" s="183"/>
      <c r="G269" s="183"/>
      <c r="H269" s="183"/>
      <c r="I269" s="183"/>
      <c r="J269" s="183"/>
      <c r="K269" s="183"/>
      <c r="L269" s="183"/>
      <c r="M269" s="183"/>
      <c r="N269" s="183"/>
      <c r="O269" s="183"/>
      <c r="P269" s="183"/>
      <c r="Q269" s="184"/>
    </row>
    <row r="271" spans="4:17" x14ac:dyDescent="0.3">
      <c r="D271" s="189" t="s">
        <v>541</v>
      </c>
      <c r="E271" s="190"/>
      <c r="F271" s="190"/>
      <c r="G271" s="190"/>
      <c r="H271" s="190"/>
      <c r="I271" s="190"/>
      <c r="J271" s="190"/>
      <c r="K271" s="190"/>
      <c r="L271" s="190"/>
      <c r="M271" s="190"/>
      <c r="N271" s="190"/>
      <c r="O271" s="190"/>
      <c r="P271" s="190"/>
      <c r="Q271" s="191"/>
    </row>
    <row r="272" spans="4:17" x14ac:dyDescent="0.3">
      <c r="D272" s="192"/>
      <c r="E272" s="193"/>
      <c r="F272" s="193"/>
      <c r="G272" s="193"/>
      <c r="H272" s="193"/>
      <c r="I272" s="193"/>
      <c r="J272" s="193"/>
      <c r="K272" s="193"/>
      <c r="L272" s="193"/>
      <c r="M272" s="193"/>
      <c r="N272" s="193"/>
      <c r="O272" s="193"/>
      <c r="P272" s="193"/>
      <c r="Q272" s="194"/>
    </row>
    <row r="273" spans="4:17" x14ac:dyDescent="0.3">
      <c r="D273" s="195"/>
      <c r="E273" s="196"/>
      <c r="F273" s="196"/>
      <c r="G273" s="196"/>
      <c r="H273" s="196"/>
      <c r="I273" s="196"/>
      <c r="J273" s="196"/>
      <c r="K273" s="196"/>
      <c r="L273" s="196"/>
      <c r="M273" s="196"/>
      <c r="N273" s="196"/>
      <c r="O273" s="196"/>
      <c r="P273" s="196"/>
      <c r="Q273" s="197"/>
    </row>
    <row r="275" spans="4:17" x14ac:dyDescent="0.3">
      <c r="D275" s="189" t="s">
        <v>542</v>
      </c>
      <c r="E275" s="190"/>
      <c r="F275" s="190"/>
      <c r="G275" s="190"/>
      <c r="H275" s="190"/>
      <c r="I275" s="190"/>
      <c r="J275" s="190"/>
      <c r="K275" s="190"/>
      <c r="L275" s="190"/>
      <c r="M275" s="190"/>
      <c r="N275" s="190"/>
      <c r="O275" s="190"/>
      <c r="P275" s="190"/>
      <c r="Q275" s="191"/>
    </row>
    <row r="276" spans="4:17" x14ac:dyDescent="0.3">
      <c r="D276" s="192"/>
      <c r="E276" s="193"/>
      <c r="F276" s="193"/>
      <c r="G276" s="193"/>
      <c r="H276" s="193"/>
      <c r="I276" s="193"/>
      <c r="J276" s="193"/>
      <c r="K276" s="193"/>
      <c r="L276" s="193"/>
      <c r="M276" s="193"/>
      <c r="N276" s="193"/>
      <c r="O276" s="193"/>
      <c r="P276" s="193"/>
      <c r="Q276" s="194"/>
    </row>
    <row r="277" spans="4:17" x14ac:dyDescent="0.3">
      <c r="D277" s="195"/>
      <c r="E277" s="196"/>
      <c r="F277" s="196"/>
      <c r="G277" s="196"/>
      <c r="H277" s="196"/>
      <c r="I277" s="196"/>
      <c r="J277" s="196"/>
      <c r="K277" s="196"/>
      <c r="L277" s="196"/>
      <c r="M277" s="196"/>
      <c r="N277" s="196"/>
      <c r="O277" s="196"/>
      <c r="P277" s="196"/>
      <c r="Q277" s="197"/>
    </row>
    <row r="279" spans="4:17" x14ac:dyDescent="0.3">
      <c r="D279" s="176" t="s">
        <v>543</v>
      </c>
      <c r="E279" s="177"/>
      <c r="F279" s="177"/>
      <c r="G279" s="177"/>
      <c r="H279" s="177"/>
      <c r="I279" s="177"/>
      <c r="J279" s="177"/>
      <c r="K279" s="177"/>
      <c r="L279" s="177"/>
      <c r="M279" s="177"/>
      <c r="N279" s="177"/>
      <c r="O279" s="177"/>
      <c r="P279" s="177"/>
      <c r="Q279" s="178"/>
    </row>
    <row r="280" spans="4:17" x14ac:dyDescent="0.3">
      <c r="D280" s="179"/>
      <c r="E280" s="180"/>
      <c r="F280" s="180"/>
      <c r="G280" s="180"/>
      <c r="H280" s="180"/>
      <c r="I280" s="180"/>
      <c r="J280" s="180"/>
      <c r="K280" s="180"/>
      <c r="L280" s="180"/>
      <c r="M280" s="180"/>
      <c r="N280" s="180"/>
      <c r="O280" s="180"/>
      <c r="P280" s="180"/>
      <c r="Q280" s="181"/>
    </row>
    <row r="281" spans="4:17" x14ac:dyDescent="0.3">
      <c r="D281" s="182"/>
      <c r="E281" s="183"/>
      <c r="F281" s="183"/>
      <c r="G281" s="183"/>
      <c r="H281" s="183"/>
      <c r="I281" s="183"/>
      <c r="J281" s="183"/>
      <c r="K281" s="183"/>
      <c r="L281" s="183"/>
      <c r="M281" s="183"/>
      <c r="N281" s="183"/>
      <c r="O281" s="183"/>
      <c r="P281" s="183"/>
      <c r="Q281" s="184"/>
    </row>
    <row r="283" spans="4:17" x14ac:dyDescent="0.3">
      <c r="D283" s="45" t="s">
        <v>544</v>
      </c>
      <c r="E283" s="45"/>
      <c r="F283" s="45"/>
      <c r="G283" s="45"/>
    </row>
    <row r="285" spans="4:17" x14ac:dyDescent="0.3">
      <c r="D285" s="176" t="s">
        <v>545</v>
      </c>
      <c r="E285" s="177"/>
      <c r="F285" s="177"/>
      <c r="G285" s="177"/>
      <c r="H285" s="177"/>
      <c r="I285" s="177"/>
      <c r="J285" s="177"/>
      <c r="K285" s="177"/>
      <c r="L285" s="177"/>
      <c r="M285" s="177"/>
      <c r="N285" s="177"/>
      <c r="O285" s="177"/>
      <c r="P285" s="177"/>
      <c r="Q285" s="178"/>
    </row>
    <row r="286" spans="4:17" x14ac:dyDescent="0.3">
      <c r="D286" s="179"/>
      <c r="E286" s="180"/>
      <c r="F286" s="180"/>
      <c r="G286" s="180"/>
      <c r="H286" s="180"/>
      <c r="I286" s="180"/>
      <c r="J286" s="180"/>
      <c r="K286" s="180"/>
      <c r="L286" s="180"/>
      <c r="M286" s="180"/>
      <c r="N286" s="180"/>
      <c r="O286" s="180"/>
      <c r="P286" s="180"/>
      <c r="Q286" s="181"/>
    </row>
    <row r="287" spans="4:17" x14ac:dyDescent="0.3">
      <c r="D287" s="182"/>
      <c r="E287" s="183"/>
      <c r="F287" s="183"/>
      <c r="G287" s="183"/>
      <c r="H287" s="183"/>
      <c r="I287" s="183"/>
      <c r="J287" s="183"/>
      <c r="K287" s="183"/>
      <c r="L287" s="183"/>
      <c r="M287" s="183"/>
      <c r="N287" s="183"/>
      <c r="O287" s="183"/>
      <c r="P287" s="183"/>
      <c r="Q287" s="184"/>
    </row>
    <row r="289" spans="4:17" x14ac:dyDescent="0.3">
      <c r="D289" s="176" t="s">
        <v>546</v>
      </c>
      <c r="E289" s="177"/>
      <c r="F289" s="177"/>
      <c r="G289" s="177"/>
      <c r="H289" s="177"/>
      <c r="I289" s="177"/>
      <c r="J289" s="177"/>
      <c r="K289" s="177"/>
      <c r="L289" s="177"/>
      <c r="M289" s="177"/>
      <c r="N289" s="177"/>
      <c r="O289" s="177"/>
      <c r="P289" s="177"/>
      <c r="Q289" s="178"/>
    </row>
    <row r="290" spans="4:17" x14ac:dyDescent="0.3">
      <c r="D290" s="179"/>
      <c r="E290" s="180"/>
      <c r="F290" s="180"/>
      <c r="G290" s="180"/>
      <c r="H290" s="180"/>
      <c r="I290" s="180"/>
      <c r="J290" s="180"/>
      <c r="K290" s="180"/>
      <c r="L290" s="180"/>
      <c r="M290" s="180"/>
      <c r="N290" s="180"/>
      <c r="O290" s="180"/>
      <c r="P290" s="180"/>
      <c r="Q290" s="181"/>
    </row>
    <row r="291" spans="4:17" x14ac:dyDescent="0.3">
      <c r="D291" s="182"/>
      <c r="E291" s="183"/>
      <c r="F291" s="183"/>
      <c r="G291" s="183"/>
      <c r="H291" s="183"/>
      <c r="I291" s="183"/>
      <c r="J291" s="183"/>
      <c r="K291" s="183"/>
      <c r="L291" s="183"/>
      <c r="M291" s="183"/>
      <c r="N291" s="183"/>
      <c r="O291" s="183"/>
      <c r="P291" s="183"/>
      <c r="Q291" s="184"/>
    </row>
    <row r="293" spans="4:17" x14ac:dyDescent="0.3">
      <c r="D293" s="176" t="s">
        <v>547</v>
      </c>
      <c r="E293" s="177"/>
      <c r="F293" s="177"/>
      <c r="G293" s="177"/>
      <c r="H293" s="177"/>
      <c r="I293" s="177"/>
      <c r="J293" s="177"/>
      <c r="K293" s="177"/>
      <c r="L293" s="177"/>
      <c r="M293" s="177"/>
      <c r="N293" s="177"/>
      <c r="O293" s="177"/>
      <c r="P293" s="177"/>
      <c r="Q293" s="178"/>
    </row>
    <row r="294" spans="4:17" x14ac:dyDescent="0.3">
      <c r="D294" s="179"/>
      <c r="E294" s="180"/>
      <c r="F294" s="180"/>
      <c r="G294" s="180"/>
      <c r="H294" s="180"/>
      <c r="I294" s="180"/>
      <c r="J294" s="180"/>
      <c r="K294" s="180"/>
      <c r="L294" s="180"/>
      <c r="M294" s="180"/>
      <c r="N294" s="180"/>
      <c r="O294" s="180"/>
      <c r="P294" s="180"/>
      <c r="Q294" s="181"/>
    </row>
    <row r="295" spans="4:17" x14ac:dyDescent="0.3">
      <c r="D295" s="182"/>
      <c r="E295" s="183"/>
      <c r="F295" s="183"/>
      <c r="G295" s="183"/>
      <c r="H295" s="183"/>
      <c r="I295" s="183"/>
      <c r="J295" s="183"/>
      <c r="K295" s="183"/>
      <c r="L295" s="183"/>
      <c r="M295" s="183"/>
      <c r="N295" s="183"/>
      <c r="O295" s="183"/>
      <c r="P295" s="183"/>
      <c r="Q295" s="184"/>
    </row>
    <row r="297" spans="4:17" x14ac:dyDescent="0.3">
      <c r="D297" s="176" t="s">
        <v>548</v>
      </c>
      <c r="E297" s="177"/>
      <c r="F297" s="177"/>
      <c r="G297" s="177"/>
      <c r="H297" s="177"/>
      <c r="I297" s="177"/>
      <c r="J297" s="177"/>
      <c r="K297" s="177"/>
      <c r="L297" s="177"/>
      <c r="M297" s="177"/>
      <c r="N297" s="177"/>
      <c r="O297" s="177"/>
      <c r="P297" s="177"/>
      <c r="Q297" s="178"/>
    </row>
    <row r="298" spans="4:17" x14ac:dyDescent="0.3">
      <c r="D298" s="179"/>
      <c r="E298" s="180"/>
      <c r="F298" s="180"/>
      <c r="G298" s="180"/>
      <c r="H298" s="180"/>
      <c r="I298" s="180"/>
      <c r="J298" s="180"/>
      <c r="K298" s="180"/>
      <c r="L298" s="180"/>
      <c r="M298" s="180"/>
      <c r="N298" s="180"/>
      <c r="O298" s="180"/>
      <c r="P298" s="180"/>
      <c r="Q298" s="181"/>
    </row>
    <row r="299" spans="4:17" x14ac:dyDescent="0.3">
      <c r="D299" s="182"/>
      <c r="E299" s="183"/>
      <c r="F299" s="183"/>
      <c r="G299" s="183"/>
      <c r="H299" s="183"/>
      <c r="I299" s="183"/>
      <c r="J299" s="183"/>
      <c r="K299" s="183"/>
      <c r="L299" s="183"/>
      <c r="M299" s="183"/>
      <c r="N299" s="183"/>
      <c r="O299" s="183"/>
      <c r="P299" s="183"/>
      <c r="Q299" s="184"/>
    </row>
    <row r="301" spans="4:17" x14ac:dyDescent="0.3">
      <c r="D301" s="45" t="s">
        <v>549</v>
      </c>
    </row>
    <row r="303" spans="4:17" x14ac:dyDescent="0.3">
      <c r="D303" s="189" t="s">
        <v>550</v>
      </c>
      <c r="E303" s="190"/>
      <c r="F303" s="190"/>
      <c r="G303" s="190"/>
      <c r="H303" s="190"/>
      <c r="I303" s="190"/>
      <c r="J303" s="190"/>
      <c r="K303" s="190"/>
      <c r="L303" s="190"/>
      <c r="M303" s="190"/>
      <c r="N303" s="190"/>
      <c r="O303" s="190"/>
      <c r="P303" s="190"/>
      <c r="Q303" s="191"/>
    </row>
    <row r="304" spans="4:17" x14ac:dyDescent="0.3">
      <c r="D304" s="192"/>
      <c r="E304" s="193"/>
      <c r="F304" s="193"/>
      <c r="G304" s="193"/>
      <c r="H304" s="193"/>
      <c r="I304" s="193"/>
      <c r="J304" s="193"/>
      <c r="K304" s="193"/>
      <c r="L304" s="193"/>
      <c r="M304" s="193"/>
      <c r="N304" s="193"/>
      <c r="O304" s="193"/>
      <c r="P304" s="193"/>
      <c r="Q304" s="194"/>
    </row>
    <row r="305" spans="4:17" x14ac:dyDescent="0.3">
      <c r="D305" s="195"/>
      <c r="E305" s="196"/>
      <c r="F305" s="196"/>
      <c r="G305" s="196"/>
      <c r="H305" s="196"/>
      <c r="I305" s="196"/>
      <c r="J305" s="196"/>
      <c r="K305" s="196"/>
      <c r="L305" s="196"/>
      <c r="M305" s="196"/>
      <c r="N305" s="196"/>
      <c r="O305" s="196"/>
      <c r="P305" s="196"/>
      <c r="Q305" s="197"/>
    </row>
    <row r="307" spans="4:17" x14ac:dyDescent="0.3">
      <c r="D307" s="176" t="s">
        <v>551</v>
      </c>
      <c r="E307" s="177"/>
      <c r="F307" s="177"/>
      <c r="G307" s="177"/>
      <c r="H307" s="177"/>
      <c r="I307" s="177"/>
      <c r="J307" s="177"/>
      <c r="K307" s="177"/>
      <c r="L307" s="177"/>
      <c r="M307" s="177"/>
      <c r="N307" s="177"/>
      <c r="O307" s="177"/>
      <c r="P307" s="177"/>
      <c r="Q307" s="178"/>
    </row>
    <row r="308" spans="4:17" x14ac:dyDescent="0.3">
      <c r="D308" s="179"/>
      <c r="E308" s="180"/>
      <c r="F308" s="180"/>
      <c r="G308" s="180"/>
      <c r="H308" s="180"/>
      <c r="I308" s="180"/>
      <c r="J308" s="180"/>
      <c r="K308" s="180"/>
      <c r="L308" s="180"/>
      <c r="M308" s="180"/>
      <c r="N308" s="180"/>
      <c r="O308" s="180"/>
      <c r="P308" s="180"/>
      <c r="Q308" s="181"/>
    </row>
    <row r="309" spans="4:17" x14ac:dyDescent="0.3">
      <c r="D309" s="179"/>
      <c r="E309" s="180"/>
      <c r="F309" s="180"/>
      <c r="G309" s="180"/>
      <c r="H309" s="180"/>
      <c r="I309" s="180"/>
      <c r="J309" s="180"/>
      <c r="K309" s="180"/>
      <c r="L309" s="180"/>
      <c r="M309" s="180"/>
      <c r="N309" s="180"/>
      <c r="O309" s="180"/>
      <c r="P309" s="180"/>
      <c r="Q309" s="181"/>
    </row>
    <row r="310" spans="4:17" x14ac:dyDescent="0.3">
      <c r="D310" s="182"/>
      <c r="E310" s="183"/>
      <c r="F310" s="183"/>
      <c r="G310" s="183"/>
      <c r="H310" s="183"/>
      <c r="I310" s="183"/>
      <c r="J310" s="183"/>
      <c r="K310" s="183"/>
      <c r="L310" s="183"/>
      <c r="M310" s="183"/>
      <c r="N310" s="183"/>
      <c r="O310" s="183"/>
      <c r="P310" s="183"/>
      <c r="Q310" s="184"/>
    </row>
    <row r="312" spans="4:17" x14ac:dyDescent="0.3">
      <c r="D312" s="189" t="s">
        <v>552</v>
      </c>
      <c r="E312" s="190"/>
      <c r="F312" s="190"/>
      <c r="G312" s="190"/>
      <c r="H312" s="190"/>
      <c r="I312" s="190"/>
      <c r="J312" s="190"/>
      <c r="K312" s="190"/>
      <c r="L312" s="190"/>
      <c r="M312" s="190"/>
      <c r="N312" s="190"/>
      <c r="O312" s="190"/>
      <c r="P312" s="190"/>
      <c r="Q312" s="191"/>
    </row>
    <row r="313" spans="4:17" x14ac:dyDescent="0.3">
      <c r="D313" s="192"/>
      <c r="E313" s="193"/>
      <c r="F313" s="193"/>
      <c r="G313" s="193"/>
      <c r="H313" s="193"/>
      <c r="I313" s="193"/>
      <c r="J313" s="193"/>
      <c r="K313" s="193"/>
      <c r="L313" s="193"/>
      <c r="M313" s="193"/>
      <c r="N313" s="193"/>
      <c r="O313" s="193"/>
      <c r="P313" s="193"/>
      <c r="Q313" s="194"/>
    </row>
    <row r="314" spans="4:17" x14ac:dyDescent="0.3">
      <c r="D314" s="192"/>
      <c r="E314" s="193"/>
      <c r="F314" s="193"/>
      <c r="G314" s="193"/>
      <c r="H314" s="193"/>
      <c r="I314" s="193"/>
      <c r="J314" s="193"/>
      <c r="K314" s="193"/>
      <c r="L314" s="193"/>
      <c r="M314" s="193"/>
      <c r="N314" s="193"/>
      <c r="O314" s="193"/>
      <c r="P314" s="193"/>
      <c r="Q314" s="194"/>
    </row>
    <row r="315" spans="4:17" x14ac:dyDescent="0.3">
      <c r="D315" s="195"/>
      <c r="E315" s="196"/>
      <c r="F315" s="196"/>
      <c r="G315" s="196"/>
      <c r="H315" s="196"/>
      <c r="I315" s="196"/>
      <c r="J315" s="196"/>
      <c r="K315" s="196"/>
      <c r="L315" s="196"/>
      <c r="M315" s="196"/>
      <c r="N315" s="196"/>
      <c r="O315" s="196"/>
      <c r="P315" s="196"/>
      <c r="Q315" s="197"/>
    </row>
    <row r="317" spans="4:17" x14ac:dyDescent="0.3">
      <c r="D317" s="176" t="s">
        <v>553</v>
      </c>
      <c r="E317" s="177"/>
      <c r="F317" s="177"/>
      <c r="G317" s="177"/>
      <c r="H317" s="177"/>
      <c r="I317" s="177"/>
      <c r="J317" s="177"/>
      <c r="K317" s="177"/>
      <c r="L317" s="177"/>
      <c r="M317" s="177"/>
      <c r="N317" s="177"/>
      <c r="O317" s="177"/>
      <c r="P317" s="177"/>
      <c r="Q317" s="178"/>
    </row>
    <row r="318" spans="4:17" x14ac:dyDescent="0.3">
      <c r="D318" s="179"/>
      <c r="E318" s="180"/>
      <c r="F318" s="180"/>
      <c r="G318" s="180"/>
      <c r="H318" s="180"/>
      <c r="I318" s="180"/>
      <c r="J318" s="180"/>
      <c r="K318" s="180"/>
      <c r="L318" s="180"/>
      <c r="M318" s="180"/>
      <c r="N318" s="180"/>
      <c r="O318" s="180"/>
      <c r="P318" s="180"/>
      <c r="Q318" s="181"/>
    </row>
    <row r="319" spans="4:17" x14ac:dyDescent="0.3">
      <c r="D319" s="179"/>
      <c r="E319" s="180"/>
      <c r="F319" s="180"/>
      <c r="G319" s="180"/>
      <c r="H319" s="180"/>
      <c r="I319" s="180"/>
      <c r="J319" s="180"/>
      <c r="K319" s="180"/>
      <c r="L319" s="180"/>
      <c r="M319" s="180"/>
      <c r="N319" s="180"/>
      <c r="O319" s="180"/>
      <c r="P319" s="180"/>
      <c r="Q319" s="181"/>
    </row>
    <row r="320" spans="4:17" x14ac:dyDescent="0.3">
      <c r="D320" s="182"/>
      <c r="E320" s="183"/>
      <c r="F320" s="183"/>
      <c r="G320" s="183"/>
      <c r="H320" s="183"/>
      <c r="I320" s="183"/>
      <c r="J320" s="183"/>
      <c r="K320" s="183"/>
      <c r="L320" s="183"/>
      <c r="M320" s="183"/>
      <c r="N320" s="183"/>
      <c r="O320" s="183"/>
      <c r="P320" s="183"/>
      <c r="Q320" s="184"/>
    </row>
    <row r="322" spans="4:17" x14ac:dyDescent="0.3">
      <c r="D322" s="45" t="s">
        <v>554</v>
      </c>
    </row>
    <row r="324" spans="4:17" x14ac:dyDescent="0.3">
      <c r="D324" s="189" t="s">
        <v>555</v>
      </c>
      <c r="E324" s="190"/>
      <c r="F324" s="190"/>
      <c r="G324" s="190"/>
      <c r="H324" s="190"/>
      <c r="I324" s="190"/>
      <c r="J324" s="190"/>
      <c r="K324" s="190"/>
      <c r="L324" s="190"/>
      <c r="M324" s="190"/>
      <c r="N324" s="190"/>
      <c r="O324" s="190"/>
      <c r="P324" s="190"/>
      <c r="Q324" s="191"/>
    </row>
    <row r="325" spans="4:17" x14ac:dyDescent="0.3">
      <c r="D325" s="192"/>
      <c r="E325" s="193"/>
      <c r="F325" s="193"/>
      <c r="G325" s="193"/>
      <c r="H325" s="193"/>
      <c r="I325" s="193"/>
      <c r="J325" s="193"/>
      <c r="K325" s="193"/>
      <c r="L325" s="193"/>
      <c r="M325" s="193"/>
      <c r="N325" s="193"/>
      <c r="O325" s="193"/>
      <c r="P325" s="193"/>
      <c r="Q325" s="194"/>
    </row>
    <row r="326" spans="4:17" x14ac:dyDescent="0.3">
      <c r="D326" s="195"/>
      <c r="E326" s="196"/>
      <c r="F326" s="196"/>
      <c r="G326" s="196"/>
      <c r="H326" s="196"/>
      <c r="I326" s="196"/>
      <c r="J326" s="196"/>
      <c r="K326" s="196"/>
      <c r="L326" s="196"/>
      <c r="M326" s="196"/>
      <c r="N326" s="196"/>
      <c r="O326" s="196"/>
      <c r="P326" s="196"/>
      <c r="Q326" s="197"/>
    </row>
    <row r="328" spans="4:17" x14ac:dyDescent="0.3">
      <c r="D328" s="176" t="s">
        <v>556</v>
      </c>
      <c r="E328" s="177"/>
      <c r="F328" s="177"/>
      <c r="G328" s="177"/>
      <c r="H328" s="177"/>
      <c r="I328" s="177"/>
      <c r="J328" s="177"/>
      <c r="K328" s="177"/>
      <c r="L328" s="177"/>
      <c r="M328" s="177"/>
      <c r="N328" s="177"/>
      <c r="O328" s="177"/>
      <c r="P328" s="177"/>
      <c r="Q328" s="178"/>
    </row>
    <row r="329" spans="4:17" x14ac:dyDescent="0.3">
      <c r="D329" s="179"/>
      <c r="E329" s="180"/>
      <c r="F329" s="180"/>
      <c r="G329" s="180"/>
      <c r="H329" s="180"/>
      <c r="I329" s="180"/>
      <c r="J329" s="180"/>
      <c r="K329" s="180"/>
      <c r="L329" s="180"/>
      <c r="M329" s="180"/>
      <c r="N329" s="180"/>
      <c r="O329" s="180"/>
      <c r="P329" s="180"/>
      <c r="Q329" s="181"/>
    </row>
    <row r="330" spans="4:17" x14ac:dyDescent="0.3">
      <c r="D330" s="182"/>
      <c r="E330" s="183"/>
      <c r="F330" s="183"/>
      <c r="G330" s="183"/>
      <c r="H330" s="183"/>
      <c r="I330" s="183"/>
      <c r="J330" s="183"/>
      <c r="K330" s="183"/>
      <c r="L330" s="183"/>
      <c r="M330" s="183"/>
      <c r="N330" s="183"/>
      <c r="O330" s="183"/>
      <c r="P330" s="183"/>
      <c r="Q330" s="184"/>
    </row>
    <row r="332" spans="4:17" x14ac:dyDescent="0.3">
      <c r="D332" s="189" t="s">
        <v>557</v>
      </c>
      <c r="E332" s="190"/>
      <c r="F332" s="190"/>
      <c r="G332" s="190"/>
      <c r="H332" s="190"/>
      <c r="I332" s="190"/>
      <c r="J332" s="190"/>
      <c r="K332" s="190"/>
      <c r="L332" s="190"/>
      <c r="M332" s="190"/>
      <c r="N332" s="190"/>
      <c r="O332" s="190"/>
      <c r="P332" s="190"/>
      <c r="Q332" s="191"/>
    </row>
    <row r="333" spans="4:17" x14ac:dyDescent="0.3">
      <c r="D333" s="192"/>
      <c r="E333" s="193"/>
      <c r="F333" s="193"/>
      <c r="G333" s="193"/>
      <c r="H333" s="193"/>
      <c r="I333" s="193"/>
      <c r="J333" s="193"/>
      <c r="K333" s="193"/>
      <c r="L333" s="193"/>
      <c r="M333" s="193"/>
      <c r="N333" s="193"/>
      <c r="O333" s="193"/>
      <c r="P333" s="193"/>
      <c r="Q333" s="194"/>
    </row>
    <row r="334" spans="4:17" x14ac:dyDescent="0.3">
      <c r="D334" s="195"/>
      <c r="E334" s="196"/>
      <c r="F334" s="196"/>
      <c r="G334" s="196"/>
      <c r="H334" s="196"/>
      <c r="I334" s="196"/>
      <c r="J334" s="196"/>
      <c r="K334" s="196"/>
      <c r="L334" s="196"/>
      <c r="M334" s="196"/>
      <c r="N334" s="196"/>
      <c r="O334" s="196"/>
      <c r="P334" s="196"/>
      <c r="Q334" s="197"/>
    </row>
    <row r="336" spans="4:17" x14ac:dyDescent="0.3">
      <c r="D336" s="176" t="s">
        <v>558</v>
      </c>
      <c r="E336" s="177"/>
      <c r="F336" s="177"/>
      <c r="G336" s="177"/>
      <c r="H336" s="177"/>
      <c r="I336" s="177"/>
      <c r="J336" s="177"/>
      <c r="K336" s="177"/>
      <c r="L336" s="177"/>
      <c r="M336" s="177"/>
      <c r="N336" s="177"/>
      <c r="O336" s="177"/>
      <c r="P336" s="177"/>
      <c r="Q336" s="178"/>
    </row>
    <row r="337" spans="4:17" x14ac:dyDescent="0.3">
      <c r="D337" s="179"/>
      <c r="E337" s="180"/>
      <c r="F337" s="180"/>
      <c r="G337" s="180"/>
      <c r="H337" s="180"/>
      <c r="I337" s="180"/>
      <c r="J337" s="180"/>
      <c r="K337" s="180"/>
      <c r="L337" s="180"/>
      <c r="M337" s="180"/>
      <c r="N337" s="180"/>
      <c r="O337" s="180"/>
      <c r="P337" s="180"/>
      <c r="Q337" s="181"/>
    </row>
    <row r="338" spans="4:17" x14ac:dyDescent="0.3">
      <c r="D338" s="182"/>
      <c r="E338" s="183"/>
      <c r="F338" s="183"/>
      <c r="G338" s="183"/>
      <c r="H338" s="183"/>
      <c r="I338" s="183"/>
      <c r="J338" s="183"/>
      <c r="K338" s="183"/>
      <c r="L338" s="183"/>
      <c r="M338" s="183"/>
      <c r="N338" s="183"/>
      <c r="O338" s="183"/>
      <c r="P338" s="183"/>
      <c r="Q338" s="184"/>
    </row>
    <row r="340" spans="4:17" ht="15.6" x14ac:dyDescent="0.3">
      <c r="D340" s="257" t="s">
        <v>559</v>
      </c>
      <c r="E340" s="257"/>
    </row>
    <row r="342" spans="4:17" x14ac:dyDescent="0.3">
      <c r="D342" s="176" t="s">
        <v>560</v>
      </c>
      <c r="E342" s="177"/>
      <c r="F342" s="177"/>
      <c r="G342" s="177"/>
      <c r="H342" s="177"/>
      <c r="I342" s="177"/>
      <c r="J342" s="177"/>
      <c r="K342" s="177"/>
      <c r="L342" s="177"/>
      <c r="M342" s="177"/>
      <c r="N342" s="177"/>
      <c r="O342" s="177"/>
      <c r="P342" s="177"/>
      <c r="Q342" s="178"/>
    </row>
    <row r="343" spans="4:17" x14ac:dyDescent="0.3">
      <c r="D343" s="179"/>
      <c r="E343" s="180"/>
      <c r="F343" s="180"/>
      <c r="G343" s="180"/>
      <c r="H343" s="180"/>
      <c r="I343" s="180"/>
      <c r="J343" s="180"/>
      <c r="K343" s="180"/>
      <c r="L343" s="180"/>
      <c r="M343" s="180"/>
      <c r="N343" s="180"/>
      <c r="O343" s="180"/>
      <c r="P343" s="180"/>
      <c r="Q343" s="181"/>
    </row>
    <row r="344" spans="4:17" x14ac:dyDescent="0.3">
      <c r="D344" s="182"/>
      <c r="E344" s="183"/>
      <c r="F344" s="183"/>
      <c r="G344" s="183"/>
      <c r="H344" s="183"/>
      <c r="I344" s="183"/>
      <c r="J344" s="183"/>
      <c r="K344" s="183"/>
      <c r="L344" s="183"/>
      <c r="M344" s="183"/>
      <c r="N344" s="183"/>
      <c r="O344" s="183"/>
      <c r="P344" s="183"/>
      <c r="Q344" s="184"/>
    </row>
    <row r="346" spans="4:17" x14ac:dyDescent="0.3">
      <c r="D346" s="176" t="s">
        <v>561</v>
      </c>
      <c r="E346" s="177"/>
      <c r="F346" s="177"/>
      <c r="G346" s="177"/>
      <c r="H346" s="177"/>
      <c r="I346" s="177"/>
      <c r="J346" s="177"/>
      <c r="K346" s="177"/>
      <c r="L346" s="177"/>
      <c r="M346" s="177"/>
      <c r="N346" s="177"/>
      <c r="O346" s="177"/>
      <c r="P346" s="177"/>
      <c r="Q346" s="178"/>
    </row>
    <row r="347" spans="4:17" x14ac:dyDescent="0.3">
      <c r="D347" s="179"/>
      <c r="E347" s="180"/>
      <c r="F347" s="180"/>
      <c r="G347" s="180"/>
      <c r="H347" s="180"/>
      <c r="I347" s="180"/>
      <c r="J347" s="180"/>
      <c r="K347" s="180"/>
      <c r="L347" s="180"/>
      <c r="M347" s="180"/>
      <c r="N347" s="180"/>
      <c r="O347" s="180"/>
      <c r="P347" s="180"/>
      <c r="Q347" s="181"/>
    </row>
    <row r="348" spans="4:17" x14ac:dyDescent="0.3">
      <c r="D348" s="182"/>
      <c r="E348" s="183"/>
      <c r="F348" s="183"/>
      <c r="G348" s="183"/>
      <c r="H348" s="183"/>
      <c r="I348" s="183"/>
      <c r="J348" s="183"/>
      <c r="K348" s="183"/>
      <c r="L348" s="183"/>
      <c r="M348" s="183"/>
      <c r="N348" s="183"/>
      <c r="O348" s="183"/>
      <c r="P348" s="183"/>
      <c r="Q348" s="184"/>
    </row>
    <row r="350" spans="4:17" x14ac:dyDescent="0.3">
      <c r="D350" s="176" t="s">
        <v>562</v>
      </c>
      <c r="E350" s="177"/>
      <c r="F350" s="177"/>
      <c r="G350" s="177"/>
      <c r="H350" s="177"/>
      <c r="I350" s="177"/>
      <c r="J350" s="177"/>
      <c r="K350" s="177"/>
      <c r="L350" s="177"/>
      <c r="M350" s="177"/>
      <c r="N350" s="177"/>
      <c r="O350" s="177"/>
      <c r="P350" s="177"/>
      <c r="Q350" s="178"/>
    </row>
    <row r="351" spans="4:17" x14ac:dyDescent="0.3">
      <c r="D351" s="179"/>
      <c r="E351" s="180"/>
      <c r="F351" s="180"/>
      <c r="G351" s="180"/>
      <c r="H351" s="180"/>
      <c r="I351" s="180"/>
      <c r="J351" s="180"/>
      <c r="K351" s="180"/>
      <c r="L351" s="180"/>
      <c r="M351" s="180"/>
      <c r="N351" s="180"/>
      <c r="O351" s="180"/>
      <c r="P351" s="180"/>
      <c r="Q351" s="181"/>
    </row>
    <row r="352" spans="4:17" x14ac:dyDescent="0.3">
      <c r="D352" s="182"/>
      <c r="E352" s="183"/>
      <c r="F352" s="183"/>
      <c r="G352" s="183"/>
      <c r="H352" s="183"/>
      <c r="I352" s="183"/>
      <c r="J352" s="183"/>
      <c r="K352" s="183"/>
      <c r="L352" s="183"/>
      <c r="M352" s="183"/>
      <c r="N352" s="183"/>
      <c r="O352" s="183"/>
      <c r="P352" s="183"/>
      <c r="Q352" s="184"/>
    </row>
    <row r="354" spans="4:17" x14ac:dyDescent="0.3">
      <c r="D354" s="176" t="s">
        <v>563</v>
      </c>
      <c r="E354" s="177"/>
      <c r="F354" s="177"/>
      <c r="G354" s="177"/>
      <c r="H354" s="177"/>
      <c r="I354" s="177"/>
      <c r="J354" s="177"/>
      <c r="K354" s="177"/>
      <c r="L354" s="177"/>
      <c r="M354" s="177"/>
      <c r="N354" s="177"/>
      <c r="O354" s="177"/>
      <c r="P354" s="177"/>
      <c r="Q354" s="178"/>
    </row>
    <row r="355" spans="4:17" x14ac:dyDescent="0.3">
      <c r="D355" s="179"/>
      <c r="E355" s="180"/>
      <c r="F355" s="180"/>
      <c r="G355" s="180"/>
      <c r="H355" s="180"/>
      <c r="I355" s="180"/>
      <c r="J355" s="180"/>
      <c r="K355" s="180"/>
      <c r="L355" s="180"/>
      <c r="M355" s="180"/>
      <c r="N355" s="180"/>
      <c r="O355" s="180"/>
      <c r="P355" s="180"/>
      <c r="Q355" s="181"/>
    </row>
    <row r="356" spans="4:17" x14ac:dyDescent="0.3">
      <c r="D356" s="182"/>
      <c r="E356" s="183"/>
      <c r="F356" s="183"/>
      <c r="G356" s="183"/>
      <c r="H356" s="183"/>
      <c r="I356" s="183"/>
      <c r="J356" s="183"/>
      <c r="K356" s="183"/>
      <c r="L356" s="183"/>
      <c r="M356" s="183"/>
      <c r="N356" s="183"/>
      <c r="O356" s="183"/>
      <c r="P356" s="183"/>
      <c r="Q356" s="184"/>
    </row>
    <row r="358" spans="4:17" ht="15.6" x14ac:dyDescent="0.3">
      <c r="D358" s="257" t="s">
        <v>519</v>
      </c>
      <c r="E358" s="257"/>
    </row>
    <row r="360" spans="4:17" x14ac:dyDescent="0.3">
      <c r="D360" s="189" t="s">
        <v>564</v>
      </c>
      <c r="E360" s="190"/>
      <c r="F360" s="190"/>
      <c r="G360" s="190"/>
      <c r="H360" s="190"/>
      <c r="I360" s="190"/>
      <c r="J360" s="190"/>
      <c r="K360" s="190"/>
      <c r="L360" s="190"/>
      <c r="M360" s="190"/>
      <c r="N360" s="190"/>
      <c r="O360" s="190"/>
      <c r="P360" s="190"/>
      <c r="Q360" s="191"/>
    </row>
    <row r="361" spans="4:17" x14ac:dyDescent="0.3">
      <c r="D361" s="192"/>
      <c r="E361" s="193"/>
      <c r="F361" s="193"/>
      <c r="G361" s="193"/>
      <c r="H361" s="193"/>
      <c r="I361" s="193"/>
      <c r="J361" s="193"/>
      <c r="K361" s="193"/>
      <c r="L361" s="193"/>
      <c r="M361" s="193"/>
      <c r="N361" s="193"/>
      <c r="O361" s="193"/>
      <c r="P361" s="193"/>
      <c r="Q361" s="194"/>
    </row>
    <row r="362" spans="4:17" x14ac:dyDescent="0.3">
      <c r="D362" s="195"/>
      <c r="E362" s="196"/>
      <c r="F362" s="196"/>
      <c r="G362" s="196"/>
      <c r="H362" s="196"/>
      <c r="I362" s="196"/>
      <c r="J362" s="196"/>
      <c r="K362" s="196"/>
      <c r="L362" s="196"/>
      <c r="M362" s="196"/>
      <c r="N362" s="196"/>
      <c r="O362" s="196"/>
      <c r="P362" s="196"/>
      <c r="Q362" s="197"/>
    </row>
    <row r="364" spans="4:17" x14ac:dyDescent="0.3">
      <c r="D364" s="189" t="s">
        <v>565</v>
      </c>
      <c r="E364" s="190"/>
      <c r="F364" s="190"/>
      <c r="G364" s="190"/>
      <c r="H364" s="190"/>
      <c r="I364" s="190"/>
      <c r="J364" s="190"/>
      <c r="K364" s="190"/>
      <c r="L364" s="190"/>
      <c r="M364" s="190"/>
      <c r="N364" s="190"/>
      <c r="O364" s="190"/>
      <c r="P364" s="190"/>
      <c r="Q364" s="191"/>
    </row>
    <row r="365" spans="4:17" x14ac:dyDescent="0.3">
      <c r="D365" s="192"/>
      <c r="E365" s="193"/>
      <c r="F365" s="193"/>
      <c r="G365" s="193"/>
      <c r="H365" s="193"/>
      <c r="I365" s="193"/>
      <c r="J365" s="193"/>
      <c r="K365" s="193"/>
      <c r="L365" s="193"/>
      <c r="M365" s="193"/>
      <c r="N365" s="193"/>
      <c r="O365" s="193"/>
      <c r="P365" s="193"/>
      <c r="Q365" s="194"/>
    </row>
    <row r="366" spans="4:17" x14ac:dyDescent="0.3">
      <c r="D366" s="195"/>
      <c r="E366" s="196"/>
      <c r="F366" s="196"/>
      <c r="G366" s="196"/>
      <c r="H366" s="196"/>
      <c r="I366" s="196"/>
      <c r="J366" s="196"/>
      <c r="K366" s="196"/>
      <c r="L366" s="196"/>
      <c r="M366" s="196"/>
      <c r="N366" s="196"/>
      <c r="O366" s="196"/>
      <c r="P366" s="196"/>
      <c r="Q366" s="197"/>
    </row>
    <row r="368" spans="4:17" x14ac:dyDescent="0.3">
      <c r="D368" s="176" t="s">
        <v>566</v>
      </c>
      <c r="E368" s="177"/>
      <c r="F368" s="177"/>
      <c r="G368" s="177"/>
      <c r="H368" s="177"/>
      <c r="I368" s="177"/>
      <c r="J368" s="177"/>
      <c r="K368" s="177"/>
      <c r="L368" s="177"/>
      <c r="M368" s="177"/>
      <c r="N368" s="177"/>
      <c r="O368" s="177"/>
      <c r="P368" s="177"/>
      <c r="Q368" s="178"/>
    </row>
    <row r="369" spans="4:17" x14ac:dyDescent="0.3">
      <c r="D369" s="179"/>
      <c r="E369" s="180"/>
      <c r="F369" s="180"/>
      <c r="G369" s="180"/>
      <c r="H369" s="180"/>
      <c r="I369" s="180"/>
      <c r="J369" s="180"/>
      <c r="K369" s="180"/>
      <c r="L369" s="180"/>
      <c r="M369" s="180"/>
      <c r="N369" s="180"/>
      <c r="O369" s="180"/>
      <c r="P369" s="180"/>
      <c r="Q369" s="181"/>
    </row>
    <row r="370" spans="4:17" x14ac:dyDescent="0.3">
      <c r="D370" s="182"/>
      <c r="E370" s="183"/>
      <c r="F370" s="183"/>
      <c r="G370" s="183"/>
      <c r="H370" s="183"/>
      <c r="I370" s="183"/>
      <c r="J370" s="183"/>
      <c r="K370" s="183"/>
      <c r="L370" s="183"/>
      <c r="M370" s="183"/>
      <c r="N370" s="183"/>
      <c r="O370" s="183"/>
      <c r="P370" s="183"/>
      <c r="Q370" s="184"/>
    </row>
    <row r="372" spans="4:17" x14ac:dyDescent="0.3">
      <c r="D372" s="189" t="s">
        <v>567</v>
      </c>
      <c r="E372" s="190"/>
      <c r="F372" s="190"/>
      <c r="G372" s="190"/>
      <c r="H372" s="190"/>
      <c r="I372" s="190"/>
      <c r="J372" s="190"/>
      <c r="K372" s="190"/>
      <c r="L372" s="190"/>
      <c r="M372" s="190"/>
      <c r="N372" s="190"/>
      <c r="O372" s="190"/>
      <c r="P372" s="190"/>
      <c r="Q372" s="191"/>
    </row>
    <row r="373" spans="4:17" x14ac:dyDescent="0.3">
      <c r="D373" s="192"/>
      <c r="E373" s="193"/>
      <c r="F373" s="193"/>
      <c r="G373" s="193"/>
      <c r="H373" s="193"/>
      <c r="I373" s="193"/>
      <c r="J373" s="193"/>
      <c r="K373" s="193"/>
      <c r="L373" s="193"/>
      <c r="M373" s="193"/>
      <c r="N373" s="193"/>
      <c r="O373" s="193"/>
      <c r="P373" s="193"/>
      <c r="Q373" s="194"/>
    </row>
    <row r="374" spans="4:17" x14ac:dyDescent="0.3">
      <c r="D374" s="195"/>
      <c r="E374" s="196"/>
      <c r="F374" s="196"/>
      <c r="G374" s="196"/>
      <c r="H374" s="196"/>
      <c r="I374" s="196"/>
      <c r="J374" s="196"/>
      <c r="K374" s="196"/>
      <c r="L374" s="196"/>
      <c r="M374" s="196"/>
      <c r="N374" s="196"/>
      <c r="O374" s="196"/>
      <c r="P374" s="196"/>
      <c r="Q374" s="197"/>
    </row>
    <row r="376" spans="4:17" x14ac:dyDescent="0.3">
      <c r="D376" s="167" t="s">
        <v>568</v>
      </c>
      <c r="E376" s="167"/>
    </row>
    <row r="378" spans="4:17" x14ac:dyDescent="0.3">
      <c r="D378" s="176" t="s">
        <v>569</v>
      </c>
      <c r="E378" s="177"/>
      <c r="F378" s="177"/>
      <c r="G378" s="177"/>
      <c r="H378" s="177"/>
      <c r="I378" s="177"/>
      <c r="J378" s="177"/>
      <c r="K378" s="177"/>
      <c r="L378" s="177"/>
      <c r="M378" s="177"/>
      <c r="N378" s="177"/>
      <c r="O378" s="177"/>
      <c r="P378" s="177"/>
      <c r="Q378" s="178"/>
    </row>
    <row r="379" spans="4:17" x14ac:dyDescent="0.3">
      <c r="D379" s="179"/>
      <c r="E379" s="180"/>
      <c r="F379" s="180"/>
      <c r="G379" s="180"/>
      <c r="H379" s="180"/>
      <c r="I379" s="180"/>
      <c r="J379" s="180"/>
      <c r="K379" s="180"/>
      <c r="L379" s="180"/>
      <c r="M379" s="180"/>
      <c r="N379" s="180"/>
      <c r="O379" s="180"/>
      <c r="P379" s="180"/>
      <c r="Q379" s="181"/>
    </row>
    <row r="380" spans="4:17" x14ac:dyDescent="0.3">
      <c r="D380" s="182"/>
      <c r="E380" s="183"/>
      <c r="F380" s="183"/>
      <c r="G380" s="183"/>
      <c r="H380" s="183"/>
      <c r="I380" s="183"/>
      <c r="J380" s="183"/>
      <c r="K380" s="183"/>
      <c r="L380" s="183"/>
      <c r="M380" s="183"/>
      <c r="N380" s="183"/>
      <c r="O380" s="183"/>
      <c r="P380" s="183"/>
      <c r="Q380" s="184"/>
    </row>
    <row r="382" spans="4:17" x14ac:dyDescent="0.3">
      <c r="D382" s="189" t="s">
        <v>570</v>
      </c>
      <c r="E382" s="190"/>
      <c r="F382" s="190"/>
      <c r="G382" s="190"/>
      <c r="H382" s="190"/>
      <c r="I382" s="190"/>
      <c r="J382" s="190"/>
      <c r="K382" s="190"/>
      <c r="L382" s="190"/>
      <c r="M382" s="190"/>
      <c r="N382" s="190"/>
      <c r="O382" s="190"/>
      <c r="P382" s="190"/>
      <c r="Q382" s="191"/>
    </row>
    <row r="383" spans="4:17" x14ac:dyDescent="0.3">
      <c r="D383" s="192"/>
      <c r="E383" s="193"/>
      <c r="F383" s="193"/>
      <c r="G383" s="193"/>
      <c r="H383" s="193"/>
      <c r="I383" s="193"/>
      <c r="J383" s="193"/>
      <c r="K383" s="193"/>
      <c r="L383" s="193"/>
      <c r="M383" s="193"/>
      <c r="N383" s="193"/>
      <c r="O383" s="193"/>
      <c r="P383" s="193"/>
      <c r="Q383" s="194"/>
    </row>
    <row r="384" spans="4:17" x14ac:dyDescent="0.3">
      <c r="D384" s="195"/>
      <c r="E384" s="196"/>
      <c r="F384" s="196"/>
      <c r="G384" s="196"/>
      <c r="H384" s="196"/>
      <c r="I384" s="196"/>
      <c r="J384" s="196"/>
      <c r="K384" s="196"/>
      <c r="L384" s="196"/>
      <c r="M384" s="196"/>
      <c r="N384" s="196"/>
      <c r="O384" s="196"/>
      <c r="P384" s="196"/>
      <c r="Q384" s="197"/>
    </row>
    <row r="386" spans="3:17" x14ac:dyDescent="0.3">
      <c r="D386" s="176" t="s">
        <v>571</v>
      </c>
      <c r="E386" s="177"/>
      <c r="F386" s="177"/>
      <c r="G386" s="177"/>
      <c r="H386" s="177"/>
      <c r="I386" s="177"/>
      <c r="J386" s="177"/>
      <c r="K386" s="177"/>
      <c r="L386" s="177"/>
      <c r="M386" s="177"/>
      <c r="N386" s="177"/>
      <c r="O386" s="177"/>
      <c r="P386" s="177"/>
      <c r="Q386" s="178"/>
    </row>
    <row r="387" spans="3:17" x14ac:dyDescent="0.3">
      <c r="D387" s="179"/>
      <c r="E387" s="180"/>
      <c r="F387" s="180"/>
      <c r="G387" s="180"/>
      <c r="H387" s="180"/>
      <c r="I387" s="180"/>
      <c r="J387" s="180"/>
      <c r="K387" s="180"/>
      <c r="L387" s="180"/>
      <c r="M387" s="180"/>
      <c r="N387" s="180"/>
      <c r="O387" s="180"/>
      <c r="P387" s="180"/>
      <c r="Q387" s="181"/>
    </row>
    <row r="388" spans="3:17" x14ac:dyDescent="0.3">
      <c r="D388" s="182"/>
      <c r="E388" s="183"/>
      <c r="F388" s="183"/>
      <c r="G388" s="183"/>
      <c r="H388" s="183"/>
      <c r="I388" s="183"/>
      <c r="J388" s="183"/>
      <c r="K388" s="183"/>
      <c r="L388" s="183"/>
      <c r="M388" s="183"/>
      <c r="N388" s="183"/>
      <c r="O388" s="183"/>
      <c r="P388" s="183"/>
      <c r="Q388" s="184"/>
    </row>
    <row r="390" spans="3:17" x14ac:dyDescent="0.3">
      <c r="D390" s="176" t="s">
        <v>572</v>
      </c>
      <c r="E390" s="177"/>
      <c r="F390" s="177"/>
      <c r="G390" s="177"/>
      <c r="H390" s="177"/>
      <c r="I390" s="177"/>
      <c r="J390" s="177"/>
      <c r="K390" s="177"/>
      <c r="L390" s="177"/>
      <c r="M390" s="177"/>
      <c r="N390" s="177"/>
      <c r="O390" s="177"/>
      <c r="P390" s="177"/>
      <c r="Q390" s="178"/>
    </row>
    <row r="391" spans="3:17" x14ac:dyDescent="0.3">
      <c r="D391" s="179"/>
      <c r="E391" s="180"/>
      <c r="F391" s="180"/>
      <c r="G391" s="180"/>
      <c r="H391" s="180"/>
      <c r="I391" s="180"/>
      <c r="J391" s="180"/>
      <c r="K391" s="180"/>
      <c r="L391" s="180"/>
      <c r="M391" s="180"/>
      <c r="N391" s="180"/>
      <c r="O391" s="180"/>
      <c r="P391" s="180"/>
      <c r="Q391" s="181"/>
    </row>
    <row r="392" spans="3:17" x14ac:dyDescent="0.3">
      <c r="D392" s="182"/>
      <c r="E392" s="183"/>
      <c r="F392" s="183"/>
      <c r="G392" s="183"/>
      <c r="H392" s="183"/>
      <c r="I392" s="183"/>
      <c r="J392" s="183"/>
      <c r="K392" s="183"/>
      <c r="L392" s="183"/>
      <c r="M392" s="183"/>
      <c r="N392" s="183"/>
      <c r="O392" s="183"/>
      <c r="P392" s="183"/>
      <c r="Q392" s="184"/>
    </row>
    <row r="394" spans="3:17" x14ac:dyDescent="0.3">
      <c r="C394" s="167" t="s">
        <v>573</v>
      </c>
      <c r="D394" s="167"/>
      <c r="E394" s="167"/>
    </row>
    <row r="396" spans="3:17" x14ac:dyDescent="0.3">
      <c r="D396" s="189" t="s">
        <v>574</v>
      </c>
      <c r="E396" s="190"/>
      <c r="F396" s="190"/>
      <c r="G396" s="190"/>
      <c r="H396" s="190"/>
      <c r="I396" s="190"/>
      <c r="J396" s="190"/>
      <c r="K396" s="190"/>
      <c r="L396" s="190"/>
      <c r="M396" s="190"/>
      <c r="N396" s="190"/>
      <c r="O396" s="190"/>
      <c r="P396" s="190"/>
      <c r="Q396" s="191"/>
    </row>
    <row r="397" spans="3:17" x14ac:dyDescent="0.3">
      <c r="D397" s="192"/>
      <c r="E397" s="193"/>
      <c r="F397" s="193"/>
      <c r="G397" s="193"/>
      <c r="H397" s="193"/>
      <c r="I397" s="193"/>
      <c r="J397" s="193"/>
      <c r="K397" s="193"/>
      <c r="L397" s="193"/>
      <c r="M397" s="193"/>
      <c r="N397" s="193"/>
      <c r="O397" s="193"/>
      <c r="P397" s="193"/>
      <c r="Q397" s="194"/>
    </row>
    <row r="398" spans="3:17" x14ac:dyDescent="0.3">
      <c r="D398" s="195"/>
      <c r="E398" s="196"/>
      <c r="F398" s="196"/>
      <c r="G398" s="196"/>
      <c r="H398" s="196"/>
      <c r="I398" s="196"/>
      <c r="J398" s="196"/>
      <c r="K398" s="196"/>
      <c r="L398" s="196"/>
      <c r="M398" s="196"/>
      <c r="N398" s="196"/>
      <c r="O398" s="196"/>
      <c r="P398" s="196"/>
      <c r="Q398" s="197"/>
    </row>
    <row r="400" spans="3:17" x14ac:dyDescent="0.3">
      <c r="D400" s="189" t="s">
        <v>575</v>
      </c>
      <c r="E400" s="190"/>
      <c r="F400" s="190"/>
      <c r="G400" s="190"/>
      <c r="H400" s="190"/>
      <c r="I400" s="190"/>
      <c r="J400" s="190"/>
      <c r="K400" s="190"/>
      <c r="L400" s="190"/>
      <c r="M400" s="190"/>
      <c r="N400" s="190"/>
      <c r="O400" s="190"/>
      <c r="P400" s="190"/>
      <c r="Q400" s="191"/>
    </row>
    <row r="401" spans="3:17" x14ac:dyDescent="0.3">
      <c r="D401" s="192"/>
      <c r="E401" s="193"/>
      <c r="F401" s="193"/>
      <c r="G401" s="193"/>
      <c r="H401" s="193"/>
      <c r="I401" s="193"/>
      <c r="J401" s="193"/>
      <c r="K401" s="193"/>
      <c r="L401" s="193"/>
      <c r="M401" s="193"/>
      <c r="N401" s="193"/>
      <c r="O401" s="193"/>
      <c r="P401" s="193"/>
      <c r="Q401" s="194"/>
    </row>
    <row r="402" spans="3:17" x14ac:dyDescent="0.3">
      <c r="D402" s="195"/>
      <c r="E402" s="196"/>
      <c r="F402" s="196"/>
      <c r="G402" s="196"/>
      <c r="H402" s="196"/>
      <c r="I402" s="196"/>
      <c r="J402" s="196"/>
      <c r="K402" s="196"/>
      <c r="L402" s="196"/>
      <c r="M402" s="196"/>
      <c r="N402" s="196"/>
      <c r="O402" s="196"/>
      <c r="P402" s="196"/>
      <c r="Q402" s="197"/>
    </row>
    <row r="404" spans="3:17" x14ac:dyDescent="0.3">
      <c r="D404" s="176" t="s">
        <v>576</v>
      </c>
      <c r="E404" s="177"/>
      <c r="F404" s="177"/>
      <c r="G404" s="177"/>
      <c r="H404" s="177"/>
      <c r="I404" s="177"/>
      <c r="J404" s="177"/>
      <c r="K404" s="177"/>
      <c r="L404" s="177"/>
      <c r="M404" s="177"/>
      <c r="N404" s="177"/>
      <c r="O404" s="177"/>
      <c r="P404" s="177"/>
      <c r="Q404" s="178"/>
    </row>
    <row r="405" spans="3:17" x14ac:dyDescent="0.3">
      <c r="D405" s="179"/>
      <c r="E405" s="180"/>
      <c r="F405" s="180"/>
      <c r="G405" s="180"/>
      <c r="H405" s="180"/>
      <c r="I405" s="180"/>
      <c r="J405" s="180"/>
      <c r="K405" s="180"/>
      <c r="L405" s="180"/>
      <c r="M405" s="180"/>
      <c r="N405" s="180"/>
      <c r="O405" s="180"/>
      <c r="P405" s="180"/>
      <c r="Q405" s="181"/>
    </row>
    <row r="406" spans="3:17" x14ac:dyDescent="0.3">
      <c r="D406" s="182"/>
      <c r="E406" s="183"/>
      <c r="F406" s="183"/>
      <c r="G406" s="183"/>
      <c r="H406" s="183"/>
      <c r="I406" s="183"/>
      <c r="J406" s="183"/>
      <c r="K406" s="183"/>
      <c r="L406" s="183"/>
      <c r="M406" s="183"/>
      <c r="N406" s="183"/>
      <c r="O406" s="183"/>
      <c r="P406" s="183"/>
      <c r="Q406" s="184"/>
    </row>
    <row r="408" spans="3:17" x14ac:dyDescent="0.3">
      <c r="D408" s="176" t="s">
        <v>577</v>
      </c>
      <c r="E408" s="177"/>
      <c r="F408" s="177"/>
      <c r="G408" s="177"/>
      <c r="H408" s="177"/>
      <c r="I408" s="177"/>
      <c r="J408" s="177"/>
      <c r="K408" s="177"/>
      <c r="L408" s="177"/>
      <c r="M408" s="177"/>
      <c r="N408" s="177"/>
      <c r="O408" s="177"/>
      <c r="P408" s="177"/>
      <c r="Q408" s="178"/>
    </row>
    <row r="409" spans="3:17" x14ac:dyDescent="0.3">
      <c r="D409" s="179"/>
      <c r="E409" s="180"/>
      <c r="F409" s="180"/>
      <c r="G409" s="180"/>
      <c r="H409" s="180"/>
      <c r="I409" s="180"/>
      <c r="J409" s="180"/>
      <c r="K409" s="180"/>
      <c r="L409" s="180"/>
      <c r="M409" s="180"/>
      <c r="N409" s="180"/>
      <c r="O409" s="180"/>
      <c r="P409" s="180"/>
      <c r="Q409" s="181"/>
    </row>
    <row r="410" spans="3:17" x14ac:dyDescent="0.3">
      <c r="D410" s="182"/>
      <c r="E410" s="183"/>
      <c r="F410" s="183"/>
      <c r="G410" s="183"/>
      <c r="H410" s="183"/>
      <c r="I410" s="183"/>
      <c r="J410" s="183"/>
      <c r="K410" s="183"/>
      <c r="L410" s="183"/>
      <c r="M410" s="183"/>
      <c r="N410" s="183"/>
      <c r="O410" s="183"/>
      <c r="P410" s="183"/>
      <c r="Q410" s="184"/>
    </row>
    <row r="412" spans="3:17" x14ac:dyDescent="0.3">
      <c r="C412" s="167" t="s">
        <v>578</v>
      </c>
      <c r="D412" s="167"/>
      <c r="E412" s="167"/>
    </row>
    <row r="414" spans="3:17" x14ac:dyDescent="0.3">
      <c r="D414" s="189" t="s">
        <v>579</v>
      </c>
      <c r="E414" s="190"/>
      <c r="F414" s="190"/>
      <c r="G414" s="190"/>
      <c r="H414" s="190"/>
      <c r="I414" s="190"/>
      <c r="J414" s="190"/>
      <c r="K414" s="190"/>
      <c r="L414" s="190"/>
      <c r="M414" s="190"/>
      <c r="N414" s="190"/>
      <c r="O414" s="190"/>
      <c r="P414" s="190"/>
      <c r="Q414" s="191"/>
    </row>
    <row r="415" spans="3:17" x14ac:dyDescent="0.3">
      <c r="D415" s="192"/>
      <c r="E415" s="193"/>
      <c r="F415" s="193"/>
      <c r="G415" s="193"/>
      <c r="H415" s="193"/>
      <c r="I415" s="193"/>
      <c r="J415" s="193"/>
      <c r="K415" s="193"/>
      <c r="L415" s="193"/>
      <c r="M415" s="193"/>
      <c r="N415" s="193"/>
      <c r="O415" s="193"/>
      <c r="P415" s="193"/>
      <c r="Q415" s="194"/>
    </row>
    <row r="416" spans="3:17" x14ac:dyDescent="0.3">
      <c r="D416" s="195"/>
      <c r="E416" s="196"/>
      <c r="F416" s="196"/>
      <c r="G416" s="196"/>
      <c r="H416" s="196"/>
      <c r="I416" s="196"/>
      <c r="J416" s="196"/>
      <c r="K416" s="196"/>
      <c r="L416" s="196"/>
      <c r="M416" s="196"/>
      <c r="N416" s="196"/>
      <c r="O416" s="196"/>
      <c r="P416" s="196"/>
      <c r="Q416" s="197"/>
    </row>
    <row r="418" spans="4:17" x14ac:dyDescent="0.3">
      <c r="D418" s="189" t="s">
        <v>590</v>
      </c>
      <c r="E418" s="190"/>
      <c r="F418" s="190"/>
      <c r="G418" s="190"/>
      <c r="H418" s="190"/>
      <c r="I418" s="190"/>
      <c r="J418" s="190"/>
      <c r="K418" s="190"/>
      <c r="L418" s="190"/>
      <c r="M418" s="190"/>
      <c r="N418" s="190"/>
      <c r="O418" s="190"/>
      <c r="P418" s="190"/>
      <c r="Q418" s="191"/>
    </row>
    <row r="419" spans="4:17" x14ac:dyDescent="0.3">
      <c r="D419" s="192"/>
      <c r="E419" s="193"/>
      <c r="F419" s="193"/>
      <c r="G419" s="193"/>
      <c r="H419" s="193"/>
      <c r="I419" s="193"/>
      <c r="J419" s="193"/>
      <c r="K419" s="193"/>
      <c r="L419" s="193"/>
      <c r="M419" s="193"/>
      <c r="N419" s="193"/>
      <c r="O419" s="193"/>
      <c r="P419" s="193"/>
      <c r="Q419" s="194"/>
    </row>
    <row r="420" spans="4:17" x14ac:dyDescent="0.3">
      <c r="D420" s="195"/>
      <c r="E420" s="196"/>
      <c r="F420" s="196"/>
      <c r="G420" s="196"/>
      <c r="H420" s="196"/>
      <c r="I420" s="196"/>
      <c r="J420" s="196"/>
      <c r="K420" s="196"/>
      <c r="L420" s="196"/>
      <c r="M420" s="196"/>
      <c r="N420" s="196"/>
      <c r="O420" s="196"/>
      <c r="P420" s="196"/>
      <c r="Q420" s="197"/>
    </row>
    <row r="422" spans="4:17" x14ac:dyDescent="0.3">
      <c r="D422" s="189" t="s">
        <v>580</v>
      </c>
      <c r="E422" s="190"/>
      <c r="F422" s="190"/>
      <c r="G422" s="190"/>
      <c r="H422" s="190"/>
      <c r="I422" s="190"/>
      <c r="J422" s="190"/>
      <c r="K422" s="190"/>
      <c r="L422" s="190"/>
      <c r="M422" s="190"/>
      <c r="N422" s="190"/>
      <c r="O422" s="190"/>
      <c r="P422" s="190"/>
      <c r="Q422" s="191"/>
    </row>
    <row r="423" spans="4:17" x14ac:dyDescent="0.3">
      <c r="D423" s="192"/>
      <c r="E423" s="193"/>
      <c r="F423" s="193"/>
      <c r="G423" s="193"/>
      <c r="H423" s="193"/>
      <c r="I423" s="193"/>
      <c r="J423" s="193"/>
      <c r="K423" s="193"/>
      <c r="L423" s="193"/>
      <c r="M423" s="193"/>
      <c r="N423" s="193"/>
      <c r="O423" s="193"/>
      <c r="P423" s="193"/>
      <c r="Q423" s="194"/>
    </row>
    <row r="424" spans="4:17" x14ac:dyDescent="0.3">
      <c r="D424" s="195"/>
      <c r="E424" s="196"/>
      <c r="F424" s="196"/>
      <c r="G424" s="196"/>
      <c r="H424" s="196"/>
      <c r="I424" s="196"/>
      <c r="J424" s="196"/>
      <c r="K424" s="196"/>
      <c r="L424" s="196"/>
      <c r="M424" s="196"/>
      <c r="N424" s="196"/>
      <c r="O424" s="196"/>
      <c r="P424" s="196"/>
      <c r="Q424" s="197"/>
    </row>
    <row r="426" spans="4:17" x14ac:dyDescent="0.3">
      <c r="D426" s="176" t="s">
        <v>591</v>
      </c>
      <c r="E426" s="177"/>
      <c r="F426" s="177"/>
      <c r="G426" s="177"/>
      <c r="H426" s="177"/>
      <c r="I426" s="177"/>
      <c r="J426" s="177"/>
      <c r="K426" s="177"/>
      <c r="L426" s="177"/>
      <c r="M426" s="177"/>
      <c r="N426" s="177"/>
      <c r="O426" s="177"/>
      <c r="P426" s="177"/>
      <c r="Q426" s="178"/>
    </row>
    <row r="427" spans="4:17" x14ac:dyDescent="0.3">
      <c r="D427" s="179"/>
      <c r="E427" s="180"/>
      <c r="F427" s="180"/>
      <c r="G427" s="180"/>
      <c r="H427" s="180"/>
      <c r="I427" s="180"/>
      <c r="J427" s="180"/>
      <c r="K427" s="180"/>
      <c r="L427" s="180"/>
      <c r="M427" s="180"/>
      <c r="N427" s="180"/>
      <c r="O427" s="180"/>
      <c r="P427" s="180"/>
      <c r="Q427" s="181"/>
    </row>
    <row r="428" spans="4:17" x14ac:dyDescent="0.3">
      <c r="D428" s="182"/>
      <c r="E428" s="183"/>
      <c r="F428" s="183"/>
      <c r="G428" s="183"/>
      <c r="H428" s="183"/>
      <c r="I428" s="183"/>
      <c r="J428" s="183"/>
      <c r="K428" s="183"/>
      <c r="L428" s="183"/>
      <c r="M428" s="183"/>
      <c r="N428" s="183"/>
      <c r="O428" s="183"/>
      <c r="P428" s="183"/>
      <c r="Q428" s="184"/>
    </row>
    <row r="432" spans="4:17" x14ac:dyDescent="0.3">
      <c r="D432" s="45" t="s">
        <v>623</v>
      </c>
      <c r="E432" s="45"/>
      <c r="F432" s="45"/>
      <c r="G432" s="45"/>
    </row>
    <row r="433" spans="4:19" x14ac:dyDescent="0.3">
      <c r="D433" s="45"/>
      <c r="E433" s="45"/>
      <c r="F433" s="45"/>
      <c r="G433" s="45"/>
    </row>
    <row r="434" spans="4:19" ht="21" x14ac:dyDescent="0.4">
      <c r="D434" s="188" t="s">
        <v>624</v>
      </c>
      <c r="E434" s="188"/>
      <c r="F434" s="45"/>
      <c r="G434" s="45"/>
    </row>
    <row r="435" spans="4:19" x14ac:dyDescent="0.3">
      <c r="D435" s="45"/>
      <c r="E435" s="45"/>
      <c r="F435" s="45"/>
      <c r="G435" s="45"/>
    </row>
    <row r="436" spans="4:19" x14ac:dyDescent="0.3">
      <c r="D436" s="45" t="s">
        <v>625</v>
      </c>
      <c r="E436" s="45"/>
      <c r="F436" s="45"/>
      <c r="G436" s="45"/>
      <c r="H436" s="45"/>
      <c r="I436" s="45"/>
      <c r="J436" s="45"/>
      <c r="K436" s="45"/>
      <c r="L436" s="45"/>
    </row>
    <row r="437" spans="4:19" x14ac:dyDescent="0.3">
      <c r="D437" s="45"/>
      <c r="E437" s="45"/>
      <c r="F437" s="45"/>
      <c r="G437" s="45"/>
      <c r="H437" s="45"/>
      <c r="I437" s="45"/>
      <c r="J437" s="45"/>
      <c r="K437" s="45"/>
      <c r="L437" s="45"/>
    </row>
    <row r="438" spans="4:19" x14ac:dyDescent="0.3">
      <c r="D438" s="187" t="s">
        <v>626</v>
      </c>
      <c r="E438" s="187"/>
      <c r="F438" s="187"/>
      <c r="G438" s="187"/>
      <c r="H438" s="187"/>
      <c r="I438" s="187"/>
      <c r="J438" s="187"/>
      <c r="K438" s="187"/>
      <c r="L438" s="187"/>
      <c r="M438" s="187"/>
      <c r="N438" s="187"/>
      <c r="O438" s="187"/>
      <c r="P438" s="187"/>
      <c r="Q438" s="187"/>
      <c r="R438" s="187"/>
      <c r="S438" s="187"/>
    </row>
    <row r="439" spans="4:19" x14ac:dyDescent="0.3">
      <c r="D439" s="187"/>
      <c r="E439" s="187"/>
      <c r="F439" s="187"/>
      <c r="G439" s="187"/>
      <c r="H439" s="187"/>
      <c r="I439" s="187"/>
      <c r="J439" s="187"/>
      <c r="K439" s="187"/>
      <c r="L439" s="187"/>
      <c r="M439" s="187"/>
      <c r="N439" s="187"/>
      <c r="O439" s="187"/>
      <c r="P439" s="187"/>
      <c r="Q439" s="187"/>
      <c r="R439" s="187"/>
      <c r="S439" s="187"/>
    </row>
    <row r="440" spans="4:19" x14ac:dyDescent="0.3">
      <c r="D440" s="187"/>
      <c r="E440" s="187"/>
      <c r="F440" s="187"/>
      <c r="G440" s="187"/>
      <c r="H440" s="187"/>
      <c r="I440" s="187"/>
      <c r="J440" s="187"/>
      <c r="K440" s="187"/>
      <c r="L440" s="187"/>
      <c r="M440" s="187"/>
      <c r="N440" s="187"/>
      <c r="O440" s="187"/>
      <c r="P440" s="187"/>
      <c r="Q440" s="187"/>
      <c r="R440" s="187"/>
      <c r="S440" s="187"/>
    </row>
    <row r="441" spans="4:19" x14ac:dyDescent="0.3">
      <c r="D441" s="187"/>
      <c r="E441" s="187"/>
      <c r="F441" s="187"/>
      <c r="G441" s="187"/>
      <c r="H441" s="187"/>
      <c r="I441" s="187"/>
      <c r="J441" s="187"/>
      <c r="K441" s="187"/>
      <c r="L441" s="187"/>
      <c r="M441" s="187"/>
      <c r="N441" s="187"/>
      <c r="O441" s="187"/>
      <c r="P441" s="187"/>
      <c r="Q441" s="187"/>
      <c r="R441" s="187"/>
      <c r="S441" s="187"/>
    </row>
    <row r="442" spans="4:19" x14ac:dyDescent="0.3">
      <c r="D442" s="187"/>
      <c r="E442" s="187"/>
      <c r="F442" s="187"/>
      <c r="G442" s="187"/>
      <c r="H442" s="187"/>
      <c r="I442" s="187"/>
      <c r="J442" s="187"/>
      <c r="K442" s="187"/>
      <c r="L442" s="187"/>
      <c r="M442" s="187"/>
      <c r="N442" s="187"/>
      <c r="O442" s="187"/>
      <c r="P442" s="187"/>
      <c r="Q442" s="187"/>
      <c r="R442" s="187"/>
      <c r="S442" s="187"/>
    </row>
    <row r="443" spans="4:19" x14ac:dyDescent="0.3">
      <c r="D443" s="187"/>
      <c r="E443" s="187"/>
      <c r="F443" s="187"/>
      <c r="G443" s="187"/>
      <c r="H443" s="187"/>
      <c r="I443" s="187"/>
      <c r="J443" s="187"/>
      <c r="K443" s="187"/>
      <c r="L443" s="187"/>
      <c r="M443" s="187"/>
      <c r="N443" s="187"/>
      <c r="O443" s="187"/>
      <c r="P443" s="187"/>
      <c r="Q443" s="187"/>
      <c r="R443" s="187"/>
      <c r="S443" s="187"/>
    </row>
    <row r="444" spans="4:19" x14ac:dyDescent="0.3">
      <c r="D444" s="187"/>
      <c r="E444" s="187"/>
      <c r="F444" s="187"/>
      <c r="G444" s="187"/>
      <c r="H444" s="187"/>
      <c r="I444" s="187"/>
      <c r="J444" s="187"/>
      <c r="K444" s="187"/>
      <c r="L444" s="187"/>
      <c r="M444" s="187"/>
      <c r="N444" s="187"/>
      <c r="O444" s="187"/>
      <c r="P444" s="187"/>
      <c r="Q444" s="187"/>
      <c r="R444" s="187"/>
      <c r="S444" s="187"/>
    </row>
    <row r="446" spans="4:19" x14ac:dyDescent="0.3">
      <c r="D446" s="45" t="s">
        <v>628</v>
      </c>
    </row>
    <row r="447" spans="4:19" x14ac:dyDescent="0.3">
      <c r="D447" s="45"/>
    </row>
    <row r="448" spans="4:19" x14ac:dyDescent="0.3">
      <c r="D448" s="173" t="s">
        <v>627</v>
      </c>
      <c r="E448" s="173"/>
      <c r="F448" s="173"/>
      <c r="G448" s="173"/>
      <c r="H448" s="173"/>
      <c r="I448" s="173"/>
      <c r="J448" s="173"/>
      <c r="K448" s="173"/>
      <c r="L448" s="173"/>
      <c r="M448" s="173"/>
      <c r="N448" s="173"/>
      <c r="O448" s="173"/>
      <c r="P448" s="173"/>
      <c r="Q448" s="173"/>
      <c r="R448" s="173"/>
      <c r="S448" s="173"/>
    </row>
    <row r="449" spans="4:19" x14ac:dyDescent="0.3">
      <c r="D449" s="173"/>
      <c r="E449" s="173"/>
      <c r="F449" s="173"/>
      <c r="G449" s="173"/>
      <c r="H449" s="173"/>
      <c r="I449" s="173"/>
      <c r="J449" s="173"/>
      <c r="K449" s="173"/>
      <c r="L449" s="173"/>
      <c r="M449" s="173"/>
      <c r="N449" s="173"/>
      <c r="O449" s="173"/>
      <c r="P449" s="173"/>
      <c r="Q449" s="173"/>
      <c r="R449" s="173"/>
      <c r="S449" s="173"/>
    </row>
    <row r="450" spans="4:19" x14ac:dyDescent="0.3">
      <c r="D450" s="173"/>
      <c r="E450" s="173"/>
      <c r="F450" s="173"/>
      <c r="G450" s="173"/>
      <c r="H450" s="173"/>
      <c r="I450" s="173"/>
      <c r="J450" s="173"/>
      <c r="K450" s="173"/>
      <c r="L450" s="173"/>
      <c r="M450" s="173"/>
      <c r="N450" s="173"/>
      <c r="O450" s="173"/>
      <c r="P450" s="173"/>
      <c r="Q450" s="173"/>
      <c r="R450" s="173"/>
      <c r="S450" s="173"/>
    </row>
    <row r="452" spans="4:19" x14ac:dyDescent="0.3">
      <c r="D452" s="45" t="s">
        <v>629</v>
      </c>
    </row>
    <row r="453" spans="4:19" x14ac:dyDescent="0.3">
      <c r="D453" s="45"/>
    </row>
    <row r="454" spans="4:19" x14ac:dyDescent="0.3">
      <c r="D454" s="173" t="s">
        <v>630</v>
      </c>
      <c r="E454" s="173"/>
      <c r="F454" s="173"/>
      <c r="G454" s="173"/>
      <c r="H454" s="173"/>
      <c r="I454" s="173"/>
      <c r="J454" s="173"/>
      <c r="K454" s="173"/>
      <c r="L454" s="173"/>
      <c r="M454" s="173"/>
      <c r="N454" s="173"/>
      <c r="O454" s="173"/>
      <c r="P454" s="173"/>
      <c r="Q454" s="173"/>
      <c r="R454" s="173"/>
      <c r="S454" s="173"/>
    </row>
    <row r="455" spans="4:19" x14ac:dyDescent="0.3">
      <c r="D455" s="173"/>
      <c r="E455" s="173"/>
      <c r="F455" s="173"/>
      <c r="G455" s="173"/>
      <c r="H455" s="173"/>
      <c r="I455" s="173"/>
      <c r="J455" s="173"/>
      <c r="K455" s="173"/>
      <c r="L455" s="173"/>
      <c r="M455" s="173"/>
      <c r="N455" s="173"/>
      <c r="O455" s="173"/>
      <c r="P455" s="173"/>
      <c r="Q455" s="173"/>
      <c r="R455" s="173"/>
      <c r="S455" s="173"/>
    </row>
    <row r="456" spans="4:19" x14ac:dyDescent="0.3">
      <c r="D456" s="173"/>
      <c r="E456" s="173"/>
      <c r="F456" s="173"/>
      <c r="G456" s="173"/>
      <c r="H456" s="173"/>
      <c r="I456" s="173"/>
      <c r="J456" s="173"/>
      <c r="K456" s="173"/>
      <c r="L456" s="173"/>
      <c r="M456" s="173"/>
      <c r="N456" s="173"/>
      <c r="O456" s="173"/>
      <c r="P456" s="173"/>
      <c r="Q456" s="173"/>
      <c r="R456" s="173"/>
      <c r="S456" s="173"/>
    </row>
    <row r="458" spans="4:19" x14ac:dyDescent="0.3">
      <c r="D458" s="45" t="s">
        <v>631</v>
      </c>
    </row>
    <row r="460" spans="4:19" x14ac:dyDescent="0.3">
      <c r="D460" s="176" t="s">
        <v>632</v>
      </c>
      <c r="E460" s="177"/>
      <c r="F460" s="177"/>
      <c r="G460" s="177"/>
      <c r="H460" s="177"/>
      <c r="I460" s="177"/>
      <c r="J460" s="177"/>
      <c r="K460" s="177"/>
      <c r="L460" s="177"/>
      <c r="M460" s="177"/>
      <c r="N460" s="177"/>
      <c r="O460" s="177"/>
      <c r="P460" s="177"/>
      <c r="Q460" s="177"/>
      <c r="R460" s="177"/>
      <c r="S460" s="178"/>
    </row>
    <row r="461" spans="4:19" x14ac:dyDescent="0.3">
      <c r="D461" s="179"/>
      <c r="E461" s="180"/>
      <c r="F461" s="180"/>
      <c r="G461" s="180"/>
      <c r="H461" s="180"/>
      <c r="I461" s="180"/>
      <c r="J461" s="180"/>
      <c r="K461" s="180"/>
      <c r="L461" s="180"/>
      <c r="M461" s="180"/>
      <c r="N461" s="180"/>
      <c r="O461" s="180"/>
      <c r="P461" s="180"/>
      <c r="Q461" s="180"/>
      <c r="R461" s="180"/>
      <c r="S461" s="181"/>
    </row>
    <row r="462" spans="4:19" x14ac:dyDescent="0.3">
      <c r="D462" s="179"/>
      <c r="E462" s="180"/>
      <c r="F462" s="180"/>
      <c r="G462" s="180"/>
      <c r="H462" s="180"/>
      <c r="I462" s="180"/>
      <c r="J462" s="180"/>
      <c r="K462" s="180"/>
      <c r="L462" s="180"/>
      <c r="M462" s="180"/>
      <c r="N462" s="180"/>
      <c r="O462" s="180"/>
      <c r="P462" s="180"/>
      <c r="Q462" s="180"/>
      <c r="R462" s="180"/>
      <c r="S462" s="181"/>
    </row>
    <row r="463" spans="4:19" x14ac:dyDescent="0.3">
      <c r="D463" s="179"/>
      <c r="E463" s="180"/>
      <c r="F463" s="180"/>
      <c r="G463" s="180"/>
      <c r="H463" s="180"/>
      <c r="I463" s="180"/>
      <c r="J463" s="180"/>
      <c r="K463" s="180"/>
      <c r="L463" s="180"/>
      <c r="M463" s="180"/>
      <c r="N463" s="180"/>
      <c r="O463" s="180"/>
      <c r="P463" s="180"/>
      <c r="Q463" s="180"/>
      <c r="R463" s="180"/>
      <c r="S463" s="181"/>
    </row>
    <row r="464" spans="4:19" x14ac:dyDescent="0.3">
      <c r="D464" s="182"/>
      <c r="E464" s="183"/>
      <c r="F464" s="183"/>
      <c r="G464" s="183"/>
      <c r="H464" s="183"/>
      <c r="I464" s="183"/>
      <c r="J464" s="183"/>
      <c r="K464" s="183"/>
      <c r="L464" s="183"/>
      <c r="M464" s="183"/>
      <c r="N464" s="183"/>
      <c r="O464" s="183"/>
      <c r="P464" s="183"/>
      <c r="Q464" s="183"/>
      <c r="R464" s="183"/>
      <c r="S464" s="184"/>
    </row>
    <row r="466" spans="4:19" x14ac:dyDescent="0.3">
      <c r="D466" s="45" t="s">
        <v>633</v>
      </c>
      <c r="E466" s="45"/>
      <c r="F466" s="45"/>
      <c r="G466" s="45"/>
      <c r="H466" s="45"/>
    </row>
    <row r="468" spans="4:19" x14ac:dyDescent="0.3">
      <c r="D468" s="172" t="s">
        <v>634</v>
      </c>
      <c r="E468" s="172"/>
      <c r="F468" s="172"/>
      <c r="G468" s="172"/>
      <c r="H468" s="172"/>
      <c r="I468" s="172"/>
      <c r="J468" s="172"/>
      <c r="K468" s="172"/>
      <c r="L468" s="172"/>
      <c r="M468" s="172"/>
      <c r="N468" s="172"/>
      <c r="O468" s="172"/>
      <c r="P468" s="172"/>
      <c r="Q468" s="172"/>
      <c r="R468" s="172"/>
      <c r="S468" s="172"/>
    </row>
    <row r="469" spans="4:19" x14ac:dyDescent="0.3">
      <c r="D469" s="172"/>
      <c r="E469" s="172"/>
      <c r="F469" s="172"/>
      <c r="G469" s="172"/>
      <c r="H469" s="172"/>
      <c r="I469" s="172"/>
      <c r="J469" s="172"/>
      <c r="K469" s="172"/>
      <c r="L469" s="172"/>
      <c r="M469" s="172"/>
      <c r="N469" s="172"/>
      <c r="O469" s="172"/>
      <c r="P469" s="172"/>
      <c r="Q469" s="172"/>
      <c r="R469" s="172"/>
      <c r="S469" s="172"/>
    </row>
    <row r="470" spans="4:19" x14ac:dyDescent="0.3">
      <c r="D470" s="172"/>
      <c r="E470" s="172"/>
      <c r="F470" s="172"/>
      <c r="G470" s="172"/>
      <c r="H470" s="172"/>
      <c r="I470" s="172"/>
      <c r="J470" s="172"/>
      <c r="K470" s="172"/>
      <c r="L470" s="172"/>
      <c r="M470" s="172"/>
      <c r="N470" s="172"/>
      <c r="O470" s="172"/>
      <c r="P470" s="172"/>
      <c r="Q470" s="172"/>
      <c r="R470" s="172"/>
      <c r="S470" s="172"/>
    </row>
    <row r="472" spans="4:19" x14ac:dyDescent="0.3">
      <c r="D472" s="45" t="s">
        <v>635</v>
      </c>
    </row>
    <row r="474" spans="4:19" x14ac:dyDescent="0.3">
      <c r="D474" s="172" t="s">
        <v>636</v>
      </c>
      <c r="E474" s="172"/>
      <c r="F474" s="172"/>
      <c r="G474" s="172"/>
      <c r="H474" s="172"/>
      <c r="I474" s="172"/>
      <c r="J474" s="172"/>
      <c r="K474" s="172"/>
      <c r="L474" s="172"/>
      <c r="M474" s="172"/>
      <c r="N474" s="172"/>
      <c r="O474" s="172"/>
      <c r="P474" s="172"/>
      <c r="Q474" s="172"/>
      <c r="R474" s="172"/>
      <c r="S474" s="172"/>
    </row>
    <row r="475" spans="4:19" x14ac:dyDescent="0.3">
      <c r="D475" s="172"/>
      <c r="E475" s="172"/>
      <c r="F475" s="172"/>
      <c r="G475" s="172"/>
      <c r="H475" s="172"/>
      <c r="I475" s="172"/>
      <c r="J475" s="172"/>
      <c r="K475" s="172"/>
      <c r="L475" s="172"/>
      <c r="M475" s="172"/>
      <c r="N475" s="172"/>
      <c r="O475" s="172"/>
      <c r="P475" s="172"/>
      <c r="Q475" s="172"/>
      <c r="R475" s="172"/>
      <c r="S475" s="172"/>
    </row>
    <row r="476" spans="4:19" x14ac:dyDescent="0.3">
      <c r="D476" s="172"/>
      <c r="E476" s="172"/>
      <c r="F476" s="172"/>
      <c r="G476" s="172"/>
      <c r="H476" s="172"/>
      <c r="I476" s="172"/>
      <c r="J476" s="172"/>
      <c r="K476" s="172"/>
      <c r="L476" s="172"/>
      <c r="M476" s="172"/>
      <c r="N476" s="172"/>
      <c r="O476" s="172"/>
      <c r="P476" s="172"/>
      <c r="Q476" s="172"/>
      <c r="R476" s="172"/>
      <c r="S476" s="172"/>
    </row>
    <row r="479" spans="4:19" x14ac:dyDescent="0.3">
      <c r="D479" s="173" t="s">
        <v>637</v>
      </c>
      <c r="E479" s="171"/>
      <c r="F479" s="171"/>
      <c r="G479" s="171"/>
      <c r="H479" s="171"/>
      <c r="I479" s="171"/>
      <c r="J479" s="171"/>
      <c r="K479" s="171"/>
      <c r="L479" s="171"/>
      <c r="M479" s="171"/>
      <c r="N479" s="171"/>
      <c r="O479" s="171"/>
      <c r="P479" s="171"/>
      <c r="Q479" s="171"/>
      <c r="R479" s="171"/>
      <c r="S479" s="171"/>
    </row>
    <row r="480" spans="4:19" x14ac:dyDescent="0.3">
      <c r="D480" s="171"/>
      <c r="E480" s="171"/>
      <c r="F480" s="171"/>
      <c r="G480" s="171"/>
      <c r="H480" s="171"/>
      <c r="I480" s="171"/>
      <c r="J480" s="171"/>
      <c r="K480" s="171"/>
      <c r="L480" s="171"/>
      <c r="M480" s="171"/>
      <c r="N480" s="171"/>
      <c r="O480" s="171"/>
      <c r="P480" s="171"/>
      <c r="Q480" s="171"/>
      <c r="R480" s="171"/>
      <c r="S480" s="171"/>
    </row>
    <row r="481" spans="3:19" x14ac:dyDescent="0.3">
      <c r="D481" s="171"/>
      <c r="E481" s="171"/>
      <c r="F481" s="171"/>
      <c r="G481" s="171"/>
      <c r="H481" s="171"/>
      <c r="I481" s="171"/>
      <c r="J481" s="171"/>
      <c r="K481" s="171"/>
      <c r="L481" s="171"/>
      <c r="M481" s="171"/>
      <c r="N481" s="171"/>
      <c r="O481" s="171"/>
      <c r="P481" s="171"/>
      <c r="Q481" s="171"/>
      <c r="R481" s="171"/>
      <c r="S481" s="171"/>
    </row>
    <row r="482" spans="3:19" x14ac:dyDescent="0.3">
      <c r="D482" s="171"/>
      <c r="E482" s="171"/>
      <c r="F482" s="171"/>
      <c r="G482" s="171"/>
      <c r="H482" s="171"/>
      <c r="I482" s="171"/>
      <c r="J482" s="171"/>
      <c r="K482" s="171"/>
      <c r="L482" s="171"/>
      <c r="M482" s="171"/>
      <c r="N482" s="171"/>
      <c r="O482" s="171"/>
      <c r="P482" s="171"/>
      <c r="Q482" s="171"/>
      <c r="R482" s="171"/>
      <c r="S482" s="171"/>
    </row>
    <row r="483" spans="3:19" x14ac:dyDescent="0.3">
      <c r="D483" s="171"/>
      <c r="E483" s="171"/>
      <c r="F483" s="171"/>
      <c r="G483" s="171"/>
      <c r="H483" s="171"/>
      <c r="I483" s="171"/>
      <c r="J483" s="171"/>
      <c r="K483" s="171"/>
      <c r="L483" s="171"/>
      <c r="M483" s="171"/>
      <c r="N483" s="171"/>
      <c r="O483" s="171"/>
      <c r="P483" s="171"/>
      <c r="Q483" s="171"/>
      <c r="R483" s="171"/>
      <c r="S483" s="171"/>
    </row>
    <row r="486" spans="3:19" ht="18" x14ac:dyDescent="0.35">
      <c r="C486" s="185" t="s">
        <v>638</v>
      </c>
      <c r="D486" s="185"/>
    </row>
    <row r="488" spans="3:19" x14ac:dyDescent="0.3">
      <c r="D488" s="45" t="s">
        <v>639</v>
      </c>
    </row>
    <row r="490" spans="3:19" x14ac:dyDescent="0.3">
      <c r="D490" s="173" t="s">
        <v>640</v>
      </c>
      <c r="E490" s="171"/>
      <c r="F490" s="171"/>
      <c r="G490" s="171"/>
      <c r="H490" s="171"/>
      <c r="I490" s="171"/>
      <c r="J490" s="171"/>
      <c r="K490" s="171"/>
      <c r="L490" s="171"/>
      <c r="M490" s="171"/>
      <c r="N490" s="171"/>
      <c r="O490" s="171"/>
      <c r="P490" s="171"/>
      <c r="Q490" s="171"/>
      <c r="R490" s="171"/>
      <c r="S490" s="171"/>
    </row>
    <row r="491" spans="3:19" x14ac:dyDescent="0.3">
      <c r="D491" s="171"/>
      <c r="E491" s="171"/>
      <c r="F491" s="171"/>
      <c r="G491" s="171"/>
      <c r="H491" s="171"/>
      <c r="I491" s="171"/>
      <c r="J491" s="171"/>
      <c r="K491" s="171"/>
      <c r="L491" s="171"/>
      <c r="M491" s="171"/>
      <c r="N491" s="171"/>
      <c r="O491" s="171"/>
      <c r="P491" s="171"/>
      <c r="Q491" s="171"/>
      <c r="R491" s="171"/>
      <c r="S491" s="171"/>
    </row>
    <row r="492" spans="3:19" x14ac:dyDescent="0.3">
      <c r="D492" s="171"/>
      <c r="E492" s="171"/>
      <c r="F492" s="171"/>
      <c r="G492" s="171"/>
      <c r="H492" s="171"/>
      <c r="I492" s="171"/>
      <c r="J492" s="171"/>
      <c r="K492" s="171"/>
      <c r="L492" s="171"/>
      <c r="M492" s="171"/>
      <c r="N492" s="171"/>
      <c r="O492" s="171"/>
      <c r="P492" s="171"/>
      <c r="Q492" s="171"/>
      <c r="R492" s="171"/>
      <c r="S492" s="171"/>
    </row>
    <row r="493" spans="3:19" x14ac:dyDescent="0.3">
      <c r="D493" s="171"/>
      <c r="E493" s="171"/>
      <c r="F493" s="171"/>
      <c r="G493" s="171"/>
      <c r="H493" s="171"/>
      <c r="I493" s="171"/>
      <c r="J493" s="171"/>
      <c r="K493" s="171"/>
      <c r="L493" s="171"/>
      <c r="M493" s="171"/>
      <c r="N493" s="171"/>
      <c r="O493" s="171"/>
      <c r="P493" s="171"/>
      <c r="Q493" s="171"/>
      <c r="R493" s="171"/>
      <c r="S493" s="171"/>
    </row>
    <row r="494" spans="3:19" x14ac:dyDescent="0.3">
      <c r="D494" s="171"/>
      <c r="E494" s="171"/>
      <c r="F494" s="171"/>
      <c r="G494" s="171"/>
      <c r="H494" s="171"/>
      <c r="I494" s="171"/>
      <c r="J494" s="171"/>
      <c r="K494" s="171"/>
      <c r="L494" s="171"/>
      <c r="M494" s="171"/>
      <c r="N494" s="171"/>
      <c r="O494" s="171"/>
      <c r="P494" s="171"/>
      <c r="Q494" s="171"/>
      <c r="R494" s="171"/>
      <c r="S494" s="171"/>
    </row>
    <row r="495" spans="3:19" x14ac:dyDescent="0.3">
      <c r="D495" s="171"/>
      <c r="E495" s="171"/>
      <c r="F495" s="171"/>
      <c r="G495" s="171"/>
      <c r="H495" s="171"/>
      <c r="I495" s="171"/>
      <c r="J495" s="171"/>
      <c r="K495" s="171"/>
      <c r="L495" s="171"/>
      <c r="M495" s="171"/>
      <c r="N495" s="171"/>
      <c r="O495" s="171"/>
      <c r="P495" s="171"/>
      <c r="Q495" s="171"/>
      <c r="R495" s="171"/>
      <c r="S495" s="171"/>
    </row>
    <row r="497" spans="4:19" x14ac:dyDescent="0.3">
      <c r="D497" s="45" t="s">
        <v>641</v>
      </c>
    </row>
    <row r="499" spans="4:19" x14ac:dyDescent="0.3">
      <c r="D499" s="172" t="s">
        <v>642</v>
      </c>
      <c r="E499" s="172"/>
      <c r="F499" s="172"/>
      <c r="G499" s="172"/>
      <c r="H499" s="172"/>
      <c r="I499" s="172"/>
      <c r="J499" s="172"/>
      <c r="K499" s="172"/>
      <c r="L499" s="172"/>
      <c r="M499" s="172"/>
      <c r="N499" s="172"/>
      <c r="O499" s="172"/>
      <c r="P499" s="172"/>
      <c r="Q499" s="172"/>
      <c r="R499" s="172"/>
      <c r="S499" s="172"/>
    </row>
    <row r="500" spans="4:19" x14ac:dyDescent="0.3">
      <c r="D500" s="172"/>
      <c r="E500" s="172"/>
      <c r="F500" s="172"/>
      <c r="G500" s="172"/>
      <c r="H500" s="172"/>
      <c r="I500" s="172"/>
      <c r="J500" s="172"/>
      <c r="K500" s="172"/>
      <c r="L500" s="172"/>
      <c r="M500" s="172"/>
      <c r="N500" s="172"/>
      <c r="O500" s="172"/>
      <c r="P500" s="172"/>
      <c r="Q500" s="172"/>
      <c r="R500" s="172"/>
      <c r="S500" s="172"/>
    </row>
    <row r="501" spans="4:19" x14ac:dyDescent="0.3">
      <c r="D501" s="172"/>
      <c r="E501" s="172"/>
      <c r="F501" s="172"/>
      <c r="G501" s="172"/>
      <c r="H501" s="172"/>
      <c r="I501" s="172"/>
      <c r="J501" s="172"/>
      <c r="K501" s="172"/>
      <c r="L501" s="172"/>
      <c r="M501" s="172"/>
      <c r="N501" s="172"/>
      <c r="O501" s="172"/>
      <c r="P501" s="172"/>
      <c r="Q501" s="172"/>
      <c r="R501" s="172"/>
      <c r="S501" s="172"/>
    </row>
    <row r="502" spans="4:19" x14ac:dyDescent="0.3">
      <c r="D502" s="172"/>
      <c r="E502" s="172"/>
      <c r="F502" s="172"/>
      <c r="G502" s="172"/>
      <c r="H502" s="172"/>
      <c r="I502" s="172"/>
      <c r="J502" s="172"/>
      <c r="K502" s="172"/>
      <c r="L502" s="172"/>
      <c r="M502" s="172"/>
      <c r="N502" s="172"/>
      <c r="O502" s="172"/>
      <c r="P502" s="172"/>
      <c r="Q502" s="172"/>
      <c r="R502" s="172"/>
      <c r="S502" s="172"/>
    </row>
    <row r="504" spans="4:19" x14ac:dyDescent="0.3">
      <c r="D504" s="45" t="s">
        <v>643</v>
      </c>
    </row>
    <row r="506" spans="4:19" x14ac:dyDescent="0.3">
      <c r="D506" s="173" t="s">
        <v>644</v>
      </c>
      <c r="E506" s="173"/>
      <c r="F506" s="173"/>
      <c r="G506" s="173"/>
      <c r="H506" s="173"/>
      <c r="I506" s="173"/>
      <c r="J506" s="173"/>
      <c r="K506" s="173"/>
      <c r="L506" s="173"/>
      <c r="M506" s="173"/>
      <c r="N506" s="173"/>
      <c r="O506" s="173"/>
      <c r="P506" s="173"/>
      <c r="Q506" s="173"/>
      <c r="R506" s="173"/>
      <c r="S506" s="173"/>
    </row>
    <row r="507" spans="4:19" x14ac:dyDescent="0.3">
      <c r="D507" s="173"/>
      <c r="E507" s="173"/>
      <c r="F507" s="173"/>
      <c r="G507" s="173"/>
      <c r="H507" s="173"/>
      <c r="I507" s="173"/>
      <c r="J507" s="173"/>
      <c r="K507" s="173"/>
      <c r="L507" s="173"/>
      <c r="M507" s="173"/>
      <c r="N507" s="173"/>
      <c r="O507" s="173"/>
      <c r="P507" s="173"/>
      <c r="Q507" s="173"/>
      <c r="R507" s="173"/>
      <c r="S507" s="173"/>
    </row>
    <row r="508" spans="4:19" x14ac:dyDescent="0.3">
      <c r="D508" s="173"/>
      <c r="E508" s="173"/>
      <c r="F508" s="173"/>
      <c r="G508" s="173"/>
      <c r="H508" s="173"/>
      <c r="I508" s="173"/>
      <c r="J508" s="173"/>
      <c r="K508" s="173"/>
      <c r="L508" s="173"/>
      <c r="M508" s="173"/>
      <c r="N508" s="173"/>
      <c r="O508" s="173"/>
      <c r="P508" s="173"/>
      <c r="Q508" s="173"/>
      <c r="R508" s="173"/>
      <c r="S508" s="173"/>
    </row>
    <row r="510" spans="4:19" x14ac:dyDescent="0.3">
      <c r="D510" s="45" t="s">
        <v>645</v>
      </c>
    </row>
    <row r="512" spans="4:19" x14ac:dyDescent="0.3">
      <c r="D512" s="173" t="s">
        <v>646</v>
      </c>
      <c r="E512" s="173"/>
      <c r="F512" s="173"/>
      <c r="G512" s="173"/>
      <c r="H512" s="173"/>
      <c r="I512" s="173"/>
      <c r="J512" s="173"/>
      <c r="K512" s="173"/>
      <c r="L512" s="173"/>
      <c r="M512" s="173"/>
      <c r="N512" s="173"/>
      <c r="O512" s="173"/>
      <c r="P512" s="173"/>
      <c r="Q512" s="173"/>
      <c r="R512" s="173"/>
      <c r="S512" s="173"/>
    </row>
    <row r="513" spans="4:19" x14ac:dyDescent="0.3">
      <c r="D513" s="173"/>
      <c r="E513" s="173"/>
      <c r="F513" s="173"/>
      <c r="G513" s="173"/>
      <c r="H513" s="173"/>
      <c r="I513" s="173"/>
      <c r="J513" s="173"/>
      <c r="K513" s="173"/>
      <c r="L513" s="173"/>
      <c r="M513" s="173"/>
      <c r="N513" s="173"/>
      <c r="O513" s="173"/>
      <c r="P513" s="173"/>
      <c r="Q513" s="173"/>
      <c r="R513" s="173"/>
      <c r="S513" s="173"/>
    </row>
    <row r="514" spans="4:19" x14ac:dyDescent="0.3">
      <c r="D514" s="173"/>
      <c r="E514" s="173"/>
      <c r="F514" s="173"/>
      <c r="G514" s="173"/>
      <c r="H514" s="173"/>
      <c r="I514" s="173"/>
      <c r="J514" s="173"/>
      <c r="K514" s="173"/>
      <c r="L514" s="173"/>
      <c r="M514" s="173"/>
      <c r="N514" s="173"/>
      <c r="O514" s="173"/>
      <c r="P514" s="173"/>
      <c r="Q514" s="173"/>
      <c r="R514" s="173"/>
      <c r="S514" s="173"/>
    </row>
    <row r="517" spans="4:19" x14ac:dyDescent="0.3">
      <c r="D517" s="45" t="s">
        <v>647</v>
      </c>
      <c r="E517" s="45"/>
      <c r="F517" s="45"/>
      <c r="G517" s="45"/>
      <c r="R517" s="49"/>
    </row>
    <row r="519" spans="4:19" x14ac:dyDescent="0.3">
      <c r="D519" s="172" t="s">
        <v>648</v>
      </c>
      <c r="E519" s="172"/>
      <c r="F519" s="172"/>
      <c r="G519" s="172"/>
      <c r="H519" s="172"/>
      <c r="I519" s="172"/>
      <c r="J519" s="172"/>
      <c r="K519" s="172"/>
      <c r="L519" s="172"/>
      <c r="M519" s="172"/>
      <c r="N519" s="172"/>
      <c r="O519" s="172"/>
      <c r="P519" s="172"/>
      <c r="Q519" s="172"/>
      <c r="R519" s="172"/>
      <c r="S519" s="172"/>
    </row>
    <row r="520" spans="4:19" x14ac:dyDescent="0.3">
      <c r="D520" s="172"/>
      <c r="E520" s="172"/>
      <c r="F520" s="172"/>
      <c r="G520" s="172"/>
      <c r="H520" s="172"/>
      <c r="I520" s="172"/>
      <c r="J520" s="172"/>
      <c r="K520" s="172"/>
      <c r="L520" s="172"/>
      <c r="M520" s="172"/>
      <c r="N520" s="172"/>
      <c r="O520" s="172"/>
      <c r="P520" s="172"/>
      <c r="Q520" s="172"/>
      <c r="R520" s="172"/>
      <c r="S520" s="172"/>
    </row>
    <row r="521" spans="4:19" x14ac:dyDescent="0.3">
      <c r="D521" s="172"/>
      <c r="E521" s="172"/>
      <c r="F521" s="172"/>
      <c r="G521" s="172"/>
      <c r="H521" s="172"/>
      <c r="I521" s="172"/>
      <c r="J521" s="172"/>
      <c r="K521" s="172"/>
      <c r="L521" s="172"/>
      <c r="M521" s="172"/>
      <c r="N521" s="172"/>
      <c r="O521" s="172"/>
      <c r="P521" s="172"/>
      <c r="Q521" s="172"/>
      <c r="R521" s="172"/>
      <c r="S521" s="172"/>
    </row>
    <row r="524" spans="4:19" x14ac:dyDescent="0.3">
      <c r="D524" s="45" t="s">
        <v>649</v>
      </c>
      <c r="E524" s="45"/>
      <c r="F524" s="45"/>
      <c r="G524" s="45"/>
    </row>
    <row r="526" spans="4:19" x14ac:dyDescent="0.3">
      <c r="D526" s="172" t="s">
        <v>650</v>
      </c>
      <c r="E526" s="172"/>
      <c r="F526" s="172"/>
      <c r="G526" s="172"/>
      <c r="H526" s="172"/>
      <c r="I526" s="172"/>
      <c r="J526" s="172"/>
      <c r="K526" s="172"/>
      <c r="L526" s="172"/>
      <c r="M526" s="172"/>
      <c r="N526" s="172"/>
      <c r="O526" s="172"/>
      <c r="P526" s="172"/>
      <c r="Q526" s="172"/>
      <c r="R526" s="172"/>
      <c r="S526" s="172"/>
    </row>
    <row r="527" spans="4:19" x14ac:dyDescent="0.3">
      <c r="D527" s="172"/>
      <c r="E527" s="172"/>
      <c r="F527" s="172"/>
      <c r="G527" s="172"/>
      <c r="H527" s="172"/>
      <c r="I527" s="172"/>
      <c r="J527" s="172"/>
      <c r="K527" s="172"/>
      <c r="L527" s="172"/>
      <c r="M527" s="172"/>
      <c r="N527" s="172"/>
      <c r="O527" s="172"/>
      <c r="P527" s="172"/>
      <c r="Q527" s="172"/>
      <c r="R527" s="172"/>
      <c r="S527" s="172"/>
    </row>
    <row r="528" spans="4:19" x14ac:dyDescent="0.3">
      <c r="D528" s="172"/>
      <c r="E528" s="172"/>
      <c r="F528" s="172"/>
      <c r="G528" s="172"/>
      <c r="H528" s="172"/>
      <c r="I528" s="172"/>
      <c r="J528" s="172"/>
      <c r="K528" s="172"/>
      <c r="L528" s="172"/>
      <c r="M528" s="172"/>
      <c r="N528" s="172"/>
      <c r="O528" s="172"/>
      <c r="P528" s="172"/>
      <c r="Q528" s="172"/>
      <c r="R528" s="172"/>
      <c r="S528" s="172"/>
    </row>
    <row r="531" spans="3:19" ht="18" x14ac:dyDescent="0.35">
      <c r="C531" s="185" t="s">
        <v>651</v>
      </c>
      <c r="D531" s="185"/>
    </row>
    <row r="533" spans="3:19" x14ac:dyDescent="0.3">
      <c r="D533" s="45" t="s">
        <v>652</v>
      </c>
      <c r="E533" s="45"/>
      <c r="F533" s="45"/>
      <c r="G533" s="45"/>
    </row>
    <row r="535" spans="3:19" x14ac:dyDescent="0.3">
      <c r="D535" s="173" t="s">
        <v>653</v>
      </c>
      <c r="E535" s="173"/>
      <c r="F535" s="173"/>
      <c r="G535" s="173"/>
      <c r="H535" s="173"/>
      <c r="I535" s="173"/>
      <c r="J535" s="173"/>
      <c r="K535" s="173"/>
      <c r="L535" s="173"/>
      <c r="M535" s="173"/>
      <c r="N535" s="173"/>
      <c r="O535" s="173"/>
      <c r="P535" s="173"/>
      <c r="Q535" s="173"/>
      <c r="R535" s="173"/>
      <c r="S535" s="173"/>
    </row>
    <row r="536" spans="3:19" x14ac:dyDescent="0.3">
      <c r="D536" s="173"/>
      <c r="E536" s="173"/>
      <c r="F536" s="173"/>
      <c r="G536" s="173"/>
      <c r="H536" s="173"/>
      <c r="I536" s="173"/>
      <c r="J536" s="173"/>
      <c r="K536" s="173"/>
      <c r="L536" s="173"/>
      <c r="M536" s="173"/>
      <c r="N536" s="173"/>
      <c r="O536" s="173"/>
      <c r="P536" s="173"/>
      <c r="Q536" s="173"/>
      <c r="R536" s="173"/>
      <c r="S536" s="173"/>
    </row>
    <row r="537" spans="3:19" x14ac:dyDescent="0.3">
      <c r="D537" s="173"/>
      <c r="E537" s="173"/>
      <c r="F537" s="173"/>
      <c r="G537" s="173"/>
      <c r="H537" s="173"/>
      <c r="I537" s="173"/>
      <c r="J537" s="173"/>
      <c r="K537" s="173"/>
      <c r="L537" s="173"/>
      <c r="M537" s="173"/>
      <c r="N537" s="173"/>
      <c r="O537" s="173"/>
      <c r="P537" s="173"/>
      <c r="Q537" s="173"/>
      <c r="R537" s="173"/>
      <c r="S537" s="173"/>
    </row>
    <row r="538" spans="3:19" x14ac:dyDescent="0.3">
      <c r="D538" s="173"/>
      <c r="E538" s="173"/>
      <c r="F538" s="173"/>
      <c r="G538" s="173"/>
      <c r="H538" s="173"/>
      <c r="I538" s="173"/>
      <c r="J538" s="173"/>
      <c r="K538" s="173"/>
      <c r="L538" s="173"/>
      <c r="M538" s="173"/>
      <c r="N538" s="173"/>
      <c r="O538" s="173"/>
      <c r="P538" s="173"/>
      <c r="Q538" s="173"/>
      <c r="R538" s="173"/>
      <c r="S538" s="173"/>
    </row>
    <row r="539" spans="3:19" x14ac:dyDescent="0.3">
      <c r="D539" s="173"/>
      <c r="E539" s="173"/>
      <c r="F539" s="173"/>
      <c r="G539" s="173"/>
      <c r="H539" s="173"/>
      <c r="I539" s="173"/>
      <c r="J539" s="173"/>
      <c r="K539" s="173"/>
      <c r="L539" s="173"/>
      <c r="M539" s="173"/>
      <c r="N539" s="173"/>
      <c r="O539" s="173"/>
      <c r="P539" s="173"/>
      <c r="Q539" s="173"/>
      <c r="R539" s="173"/>
      <c r="S539" s="173"/>
    </row>
    <row r="541" spans="3:19" x14ac:dyDescent="0.3">
      <c r="D541" s="45" t="s">
        <v>654</v>
      </c>
    </row>
    <row r="543" spans="3:19" x14ac:dyDescent="0.3">
      <c r="D543" s="172" t="s">
        <v>656</v>
      </c>
      <c r="E543" s="172"/>
      <c r="F543" s="172"/>
      <c r="G543" s="172"/>
      <c r="H543" s="172"/>
      <c r="I543" s="172"/>
      <c r="J543" s="172"/>
      <c r="K543" s="172"/>
      <c r="L543" s="172"/>
      <c r="M543" s="172"/>
      <c r="N543" s="172"/>
      <c r="O543" s="172"/>
      <c r="P543" s="172"/>
      <c r="Q543" s="172"/>
      <c r="R543" s="172"/>
      <c r="S543" s="172"/>
    </row>
    <row r="544" spans="3:19" x14ac:dyDescent="0.3">
      <c r="D544" s="172"/>
      <c r="E544" s="172"/>
      <c r="F544" s="172"/>
      <c r="G544" s="172"/>
      <c r="H544" s="172"/>
      <c r="I544" s="172"/>
      <c r="J544" s="172"/>
      <c r="K544" s="172"/>
      <c r="L544" s="172"/>
      <c r="M544" s="172"/>
      <c r="N544" s="172"/>
      <c r="O544" s="172"/>
      <c r="P544" s="172"/>
      <c r="Q544" s="172"/>
      <c r="R544" s="172"/>
      <c r="S544" s="172"/>
    </row>
    <row r="545" spans="4:19" x14ac:dyDescent="0.3">
      <c r="D545" s="172"/>
      <c r="E545" s="172"/>
      <c r="F545" s="172"/>
      <c r="G545" s="172"/>
      <c r="H545" s="172"/>
      <c r="I545" s="172"/>
      <c r="J545" s="172"/>
      <c r="K545" s="172"/>
      <c r="L545" s="172"/>
      <c r="M545" s="172"/>
      <c r="N545" s="172"/>
      <c r="O545" s="172"/>
      <c r="P545" s="172"/>
      <c r="Q545" s="172"/>
      <c r="R545" s="172"/>
      <c r="S545" s="172"/>
    </row>
    <row r="547" spans="4:19" x14ac:dyDescent="0.3">
      <c r="D547" s="45" t="s">
        <v>655</v>
      </c>
    </row>
    <row r="549" spans="4:19" x14ac:dyDescent="0.3">
      <c r="D549" s="172" t="s">
        <v>657</v>
      </c>
      <c r="E549" s="172"/>
      <c r="F549" s="172"/>
      <c r="G549" s="172"/>
      <c r="H549" s="172"/>
      <c r="I549" s="172"/>
      <c r="J549" s="172"/>
      <c r="K549" s="172"/>
      <c r="L549" s="172"/>
      <c r="M549" s="172"/>
      <c r="N549" s="172"/>
      <c r="O549" s="172"/>
      <c r="P549" s="172"/>
      <c r="Q549" s="172"/>
      <c r="R549" s="172"/>
      <c r="S549" s="172"/>
    </row>
    <row r="550" spans="4:19" x14ac:dyDescent="0.3">
      <c r="D550" s="172"/>
      <c r="E550" s="172"/>
      <c r="F550" s="172"/>
      <c r="G550" s="172"/>
      <c r="H550" s="172"/>
      <c r="I550" s="172"/>
      <c r="J550" s="172"/>
      <c r="K550" s="172"/>
      <c r="L550" s="172"/>
      <c r="M550" s="172"/>
      <c r="N550" s="172"/>
      <c r="O550" s="172"/>
      <c r="P550" s="172"/>
      <c r="Q550" s="172"/>
      <c r="R550" s="172"/>
      <c r="S550" s="172"/>
    </row>
    <row r="551" spans="4:19" x14ac:dyDescent="0.3">
      <c r="D551" s="172"/>
      <c r="E551" s="172"/>
      <c r="F551" s="172"/>
      <c r="G551" s="172"/>
      <c r="H551" s="172"/>
      <c r="I551" s="172"/>
      <c r="J551" s="172"/>
      <c r="K551" s="172"/>
      <c r="L551" s="172"/>
      <c r="M551" s="172"/>
      <c r="N551" s="172"/>
      <c r="O551" s="172"/>
      <c r="P551" s="172"/>
      <c r="Q551" s="172"/>
      <c r="R551" s="172"/>
      <c r="S551" s="172"/>
    </row>
    <row r="553" spans="4:19" x14ac:dyDescent="0.3">
      <c r="D553" s="45" t="s">
        <v>658</v>
      </c>
    </row>
    <row r="555" spans="4:19" x14ac:dyDescent="0.3">
      <c r="D555" s="176" t="s">
        <v>659</v>
      </c>
      <c r="E555" s="177"/>
      <c r="F555" s="177"/>
      <c r="G555" s="177"/>
      <c r="H555" s="177"/>
      <c r="I555" s="177"/>
      <c r="J555" s="177"/>
      <c r="K555" s="177"/>
      <c r="L555" s="177"/>
      <c r="M555" s="177"/>
      <c r="N555" s="177"/>
      <c r="O555" s="177"/>
      <c r="P555" s="177"/>
      <c r="Q555" s="177"/>
      <c r="R555" s="177"/>
      <c r="S555" s="178"/>
    </row>
    <row r="556" spans="4:19" x14ac:dyDescent="0.3">
      <c r="D556" s="179"/>
      <c r="E556" s="180"/>
      <c r="F556" s="180"/>
      <c r="G556" s="180"/>
      <c r="H556" s="180"/>
      <c r="I556" s="180"/>
      <c r="J556" s="180"/>
      <c r="K556" s="180"/>
      <c r="L556" s="180"/>
      <c r="M556" s="180"/>
      <c r="N556" s="180"/>
      <c r="O556" s="180"/>
      <c r="P556" s="180"/>
      <c r="Q556" s="180"/>
      <c r="R556" s="180"/>
      <c r="S556" s="181"/>
    </row>
    <row r="557" spans="4:19" x14ac:dyDescent="0.3">
      <c r="D557" s="179"/>
      <c r="E557" s="180"/>
      <c r="F557" s="180"/>
      <c r="G557" s="180"/>
      <c r="H557" s="180"/>
      <c r="I557" s="180"/>
      <c r="J557" s="180"/>
      <c r="K557" s="180"/>
      <c r="L557" s="180"/>
      <c r="M557" s="180"/>
      <c r="N557" s="180"/>
      <c r="O557" s="180"/>
      <c r="P557" s="180"/>
      <c r="Q557" s="180"/>
      <c r="R557" s="180"/>
      <c r="S557" s="181"/>
    </row>
    <row r="558" spans="4:19" x14ac:dyDescent="0.3">
      <c r="D558" s="179"/>
      <c r="E558" s="180"/>
      <c r="F558" s="180"/>
      <c r="G558" s="180"/>
      <c r="H558" s="180"/>
      <c r="I558" s="180"/>
      <c r="J558" s="180"/>
      <c r="K558" s="180"/>
      <c r="L558" s="180"/>
      <c r="M558" s="180"/>
      <c r="N558" s="180"/>
      <c r="O558" s="180"/>
      <c r="P558" s="180"/>
      <c r="Q558" s="180"/>
      <c r="R558" s="180"/>
      <c r="S558" s="181"/>
    </row>
    <row r="559" spans="4:19" x14ac:dyDescent="0.3">
      <c r="D559" s="179"/>
      <c r="E559" s="180"/>
      <c r="F559" s="180"/>
      <c r="G559" s="180"/>
      <c r="H559" s="180"/>
      <c r="I559" s="180"/>
      <c r="J559" s="180"/>
      <c r="K559" s="180"/>
      <c r="L559" s="180"/>
      <c r="M559" s="180"/>
      <c r="N559" s="180"/>
      <c r="O559" s="180"/>
      <c r="P559" s="180"/>
      <c r="Q559" s="180"/>
      <c r="R559" s="180"/>
      <c r="S559" s="181"/>
    </row>
    <row r="560" spans="4:19" x14ac:dyDescent="0.3">
      <c r="D560" s="182"/>
      <c r="E560" s="183"/>
      <c r="F560" s="183"/>
      <c r="G560" s="183"/>
      <c r="H560" s="183"/>
      <c r="I560" s="183"/>
      <c r="J560" s="183"/>
      <c r="K560" s="183"/>
      <c r="L560" s="183"/>
      <c r="M560" s="183"/>
      <c r="N560" s="183"/>
      <c r="O560" s="183"/>
      <c r="P560" s="183"/>
      <c r="Q560" s="183"/>
      <c r="R560" s="183"/>
      <c r="S560" s="184"/>
    </row>
    <row r="562" spans="4:19" x14ac:dyDescent="0.3">
      <c r="D562" s="146" t="s">
        <v>660</v>
      </c>
    </row>
    <row r="564" spans="4:19" x14ac:dyDescent="0.3">
      <c r="D564" s="172" t="s">
        <v>661</v>
      </c>
      <c r="E564" s="172"/>
      <c r="F564" s="172"/>
      <c r="G564" s="172"/>
      <c r="H564" s="172"/>
      <c r="I564" s="172"/>
      <c r="J564" s="172"/>
      <c r="K564" s="172"/>
      <c r="L564" s="172"/>
      <c r="M564" s="172"/>
      <c r="N564" s="172"/>
      <c r="O564" s="172"/>
      <c r="P564" s="172"/>
      <c r="Q564" s="172"/>
      <c r="R564" s="172"/>
      <c r="S564" s="172"/>
    </row>
    <row r="565" spans="4:19" x14ac:dyDescent="0.3">
      <c r="D565" s="172"/>
      <c r="E565" s="172"/>
      <c r="F565" s="172"/>
      <c r="G565" s="172"/>
      <c r="H565" s="172"/>
      <c r="I565" s="172"/>
      <c r="J565" s="172"/>
      <c r="K565" s="172"/>
      <c r="L565" s="172"/>
      <c r="M565" s="172"/>
      <c r="N565" s="172"/>
      <c r="O565" s="172"/>
      <c r="P565" s="172"/>
      <c r="Q565" s="172"/>
      <c r="R565" s="172"/>
      <c r="S565" s="172"/>
    </row>
    <row r="566" spans="4:19" x14ac:dyDescent="0.3">
      <c r="D566" s="172"/>
      <c r="E566" s="172"/>
      <c r="F566" s="172"/>
      <c r="G566" s="172"/>
      <c r="H566" s="172"/>
      <c r="I566" s="172"/>
      <c r="J566" s="172"/>
      <c r="K566" s="172"/>
      <c r="L566" s="172"/>
      <c r="M566" s="172"/>
      <c r="N566" s="172"/>
      <c r="O566" s="172"/>
      <c r="P566" s="172"/>
      <c r="Q566" s="172"/>
      <c r="R566" s="172"/>
      <c r="S566" s="172"/>
    </row>
    <row r="567" spans="4:19" x14ac:dyDescent="0.3">
      <c r="D567" s="172"/>
      <c r="E567" s="172"/>
      <c r="F567" s="172"/>
      <c r="G567" s="172"/>
      <c r="H567" s="172"/>
      <c r="I567" s="172"/>
      <c r="J567" s="172"/>
      <c r="K567" s="172"/>
      <c r="L567" s="172"/>
      <c r="M567" s="172"/>
      <c r="N567" s="172"/>
      <c r="O567" s="172"/>
      <c r="P567" s="172"/>
      <c r="Q567" s="172"/>
      <c r="R567" s="172"/>
      <c r="S567" s="172"/>
    </row>
    <row r="569" spans="4:19" x14ac:dyDescent="0.3">
      <c r="D569" s="146" t="s">
        <v>662</v>
      </c>
    </row>
    <row r="571" spans="4:19" x14ac:dyDescent="0.3">
      <c r="D571" s="172" t="s">
        <v>663</v>
      </c>
      <c r="E571" s="172"/>
      <c r="F571" s="172"/>
      <c r="G571" s="172"/>
      <c r="H571" s="172"/>
      <c r="I571" s="172"/>
      <c r="J571" s="172"/>
      <c r="K571" s="172"/>
      <c r="L571" s="172"/>
      <c r="M571" s="172"/>
      <c r="N571" s="172"/>
      <c r="O571" s="172"/>
      <c r="P571" s="172"/>
      <c r="Q571" s="172"/>
      <c r="R571" s="172"/>
      <c r="S571" s="172"/>
    </row>
    <row r="572" spans="4:19" x14ac:dyDescent="0.3">
      <c r="D572" s="172"/>
      <c r="E572" s="172"/>
      <c r="F572" s="172"/>
      <c r="G572" s="172"/>
      <c r="H572" s="172"/>
      <c r="I572" s="172"/>
      <c r="J572" s="172"/>
      <c r="K572" s="172"/>
      <c r="L572" s="172"/>
      <c r="M572" s="172"/>
      <c r="N572" s="172"/>
      <c r="O572" s="172"/>
      <c r="P572" s="172"/>
      <c r="Q572" s="172"/>
      <c r="R572" s="172"/>
      <c r="S572" s="172"/>
    </row>
    <row r="573" spans="4:19" x14ac:dyDescent="0.3">
      <c r="D573" s="172"/>
      <c r="E573" s="172"/>
      <c r="F573" s="172"/>
      <c r="G573" s="172"/>
      <c r="H573" s="172"/>
      <c r="I573" s="172"/>
      <c r="J573" s="172"/>
      <c r="K573" s="172"/>
      <c r="L573" s="172"/>
      <c r="M573" s="172"/>
      <c r="N573" s="172"/>
      <c r="O573" s="172"/>
      <c r="P573" s="172"/>
      <c r="Q573" s="172"/>
      <c r="R573" s="172"/>
      <c r="S573" s="172"/>
    </row>
    <row r="574" spans="4:19" x14ac:dyDescent="0.3">
      <c r="D574" s="172"/>
      <c r="E574" s="172"/>
      <c r="F574" s="172"/>
      <c r="G574" s="172"/>
      <c r="H574" s="172"/>
      <c r="I574" s="172"/>
      <c r="J574" s="172"/>
      <c r="K574" s="172"/>
      <c r="L574" s="172"/>
      <c r="M574" s="172"/>
      <c r="N574" s="172"/>
      <c r="O574" s="172"/>
      <c r="P574" s="172"/>
      <c r="Q574" s="172"/>
      <c r="R574" s="172"/>
      <c r="S574" s="172"/>
    </row>
    <row r="575" spans="4:19" x14ac:dyDescent="0.3">
      <c r="D575" s="172"/>
      <c r="E575" s="172"/>
      <c r="F575" s="172"/>
      <c r="G575" s="172"/>
      <c r="H575" s="172"/>
      <c r="I575" s="172"/>
      <c r="J575" s="172"/>
      <c r="K575" s="172"/>
      <c r="L575" s="172"/>
      <c r="M575" s="172"/>
      <c r="N575" s="172"/>
      <c r="O575" s="172"/>
      <c r="P575" s="172"/>
      <c r="Q575" s="172"/>
      <c r="R575" s="172"/>
      <c r="S575" s="172"/>
    </row>
    <row r="577" spans="3:19" ht="18" x14ac:dyDescent="0.35">
      <c r="C577" s="185" t="s">
        <v>352</v>
      </c>
      <c r="D577" s="185"/>
    </row>
    <row r="580" spans="3:19" ht="15.6" x14ac:dyDescent="0.3">
      <c r="D580" s="80" t="s">
        <v>664</v>
      </c>
    </row>
    <row r="582" spans="3:19" x14ac:dyDescent="0.3">
      <c r="D582" s="172" t="s">
        <v>665</v>
      </c>
      <c r="E582" s="186"/>
      <c r="F582" s="186"/>
      <c r="G582" s="186"/>
      <c r="H582" s="186"/>
      <c r="I582" s="186"/>
      <c r="J582" s="186"/>
      <c r="K582" s="186"/>
      <c r="L582" s="186"/>
      <c r="M582" s="186"/>
      <c r="N582" s="186"/>
      <c r="O582" s="186"/>
      <c r="P582" s="186"/>
      <c r="Q582" s="186"/>
      <c r="R582" s="186"/>
      <c r="S582" s="186"/>
    </row>
    <row r="583" spans="3:19" x14ac:dyDescent="0.3">
      <c r="D583" s="186"/>
      <c r="E583" s="186"/>
      <c r="F583" s="186"/>
      <c r="G583" s="186"/>
      <c r="H583" s="186"/>
      <c r="I583" s="186"/>
      <c r="J583" s="186"/>
      <c r="K583" s="186"/>
      <c r="L583" s="186"/>
      <c r="M583" s="186"/>
      <c r="N583" s="186"/>
      <c r="O583" s="186"/>
      <c r="P583" s="186"/>
      <c r="Q583" s="186"/>
      <c r="R583" s="186"/>
      <c r="S583" s="186"/>
    </row>
    <row r="584" spans="3:19" x14ac:dyDescent="0.3">
      <c r="D584" s="186"/>
      <c r="E584" s="186"/>
      <c r="F584" s="186"/>
      <c r="G584" s="186"/>
      <c r="H584" s="186"/>
      <c r="I584" s="186"/>
      <c r="J584" s="186"/>
      <c r="K584" s="186"/>
      <c r="L584" s="186"/>
      <c r="M584" s="186"/>
      <c r="N584" s="186"/>
      <c r="O584" s="186"/>
      <c r="P584" s="186"/>
      <c r="Q584" s="186"/>
      <c r="R584" s="186"/>
      <c r="S584" s="186"/>
    </row>
    <row r="585" spans="3:19" x14ac:dyDescent="0.3">
      <c r="D585" s="186"/>
      <c r="E585" s="186"/>
      <c r="F585" s="186"/>
      <c r="G585" s="186"/>
      <c r="H585" s="186"/>
      <c r="I585" s="186"/>
      <c r="J585" s="186"/>
      <c r="K585" s="186"/>
      <c r="L585" s="186"/>
      <c r="M585" s="186"/>
      <c r="N585" s="186"/>
      <c r="O585" s="186"/>
      <c r="P585" s="186"/>
      <c r="Q585" s="186"/>
      <c r="R585" s="186"/>
      <c r="S585" s="186"/>
    </row>
    <row r="587" spans="3:19" ht="15.6" x14ac:dyDescent="0.3">
      <c r="D587" s="80" t="s">
        <v>666</v>
      </c>
    </row>
    <row r="589" spans="3:19" x14ac:dyDescent="0.3">
      <c r="D589" s="172" t="s">
        <v>667</v>
      </c>
      <c r="E589" s="172"/>
      <c r="F589" s="172"/>
      <c r="G589" s="172"/>
      <c r="H589" s="172"/>
      <c r="I589" s="172"/>
      <c r="J589" s="172"/>
      <c r="K589" s="172"/>
      <c r="L589" s="172"/>
      <c r="M589" s="172"/>
      <c r="N589" s="172"/>
      <c r="O589" s="172"/>
      <c r="P589" s="172"/>
      <c r="Q589" s="172"/>
      <c r="R589" s="172"/>
      <c r="S589" s="172"/>
    </row>
    <row r="590" spans="3:19" x14ac:dyDescent="0.3">
      <c r="D590" s="172"/>
      <c r="E590" s="172"/>
      <c r="F590" s="172"/>
      <c r="G590" s="172"/>
      <c r="H590" s="172"/>
      <c r="I590" s="172"/>
      <c r="J590" s="172"/>
      <c r="K590" s="172"/>
      <c r="L590" s="172"/>
      <c r="M590" s="172"/>
      <c r="N590" s="172"/>
      <c r="O590" s="172"/>
      <c r="P590" s="172"/>
      <c r="Q590" s="172"/>
      <c r="R590" s="172"/>
      <c r="S590" s="172"/>
    </row>
    <row r="591" spans="3:19" x14ac:dyDescent="0.3">
      <c r="D591" s="172"/>
      <c r="E591" s="172"/>
      <c r="F591" s="172"/>
      <c r="G591" s="172"/>
      <c r="H591" s="172"/>
      <c r="I591" s="172"/>
      <c r="J591" s="172"/>
      <c r="K591" s="172"/>
      <c r="L591" s="172"/>
      <c r="M591" s="172"/>
      <c r="N591" s="172"/>
      <c r="O591" s="172"/>
      <c r="P591" s="172"/>
      <c r="Q591" s="172"/>
      <c r="R591" s="172"/>
      <c r="S591" s="172"/>
    </row>
    <row r="593" spans="4:19" ht="15.6" x14ac:dyDescent="0.3">
      <c r="D593" s="80" t="s">
        <v>668</v>
      </c>
    </row>
    <row r="595" spans="4:19" x14ac:dyDescent="0.3">
      <c r="D595" s="172" t="s">
        <v>669</v>
      </c>
      <c r="E595" s="172"/>
      <c r="F595" s="172"/>
      <c r="G595" s="172"/>
      <c r="H595" s="172"/>
      <c r="I595" s="172"/>
      <c r="J595" s="172"/>
      <c r="K595" s="172"/>
      <c r="L595" s="172"/>
      <c r="M595" s="172"/>
      <c r="N595" s="172"/>
      <c r="O595" s="172"/>
      <c r="P595" s="172"/>
      <c r="Q595" s="172"/>
      <c r="R595" s="172"/>
      <c r="S595" s="172"/>
    </row>
    <row r="596" spans="4:19" x14ac:dyDescent="0.3">
      <c r="D596" s="172"/>
      <c r="E596" s="172"/>
      <c r="F596" s="172"/>
      <c r="G596" s="172"/>
      <c r="H596" s="172"/>
      <c r="I596" s="172"/>
      <c r="J596" s="172"/>
      <c r="K596" s="172"/>
      <c r="L596" s="172"/>
      <c r="M596" s="172"/>
      <c r="N596" s="172"/>
      <c r="O596" s="172"/>
      <c r="P596" s="172"/>
      <c r="Q596" s="172"/>
      <c r="R596" s="172"/>
      <c r="S596" s="172"/>
    </row>
    <row r="597" spans="4:19" x14ac:dyDescent="0.3">
      <c r="D597" s="172"/>
      <c r="E597" s="172"/>
      <c r="F597" s="172"/>
      <c r="G597" s="172"/>
      <c r="H597" s="172"/>
      <c r="I597" s="172"/>
      <c r="J597" s="172"/>
      <c r="K597" s="172"/>
      <c r="L597" s="172"/>
      <c r="M597" s="172"/>
      <c r="N597" s="172"/>
      <c r="O597" s="172"/>
      <c r="P597" s="172"/>
      <c r="Q597" s="172"/>
      <c r="R597" s="172"/>
      <c r="S597" s="172"/>
    </row>
    <row r="599" spans="4:19" ht="15.6" x14ac:dyDescent="0.3">
      <c r="D599" s="80" t="s">
        <v>670</v>
      </c>
    </row>
    <row r="601" spans="4:19" x14ac:dyDescent="0.3">
      <c r="D601" s="172" t="s">
        <v>671</v>
      </c>
      <c r="E601" s="172"/>
      <c r="F601" s="172"/>
      <c r="G601" s="172"/>
      <c r="H601" s="172"/>
      <c r="I601" s="172"/>
      <c r="J601" s="172"/>
      <c r="K601" s="172"/>
      <c r="L601" s="172"/>
      <c r="M601" s="172"/>
      <c r="N601" s="172"/>
      <c r="O601" s="172"/>
      <c r="P601" s="172"/>
      <c r="Q601" s="172"/>
      <c r="R601" s="172"/>
      <c r="S601" s="172"/>
    </row>
    <row r="602" spans="4:19" x14ac:dyDescent="0.3">
      <c r="D602" s="172"/>
      <c r="E602" s="172"/>
      <c r="F602" s="172"/>
      <c r="G602" s="172"/>
      <c r="H602" s="172"/>
      <c r="I602" s="172"/>
      <c r="J602" s="172"/>
      <c r="K602" s="172"/>
      <c r="L602" s="172"/>
      <c r="M602" s="172"/>
      <c r="N602" s="172"/>
      <c r="O602" s="172"/>
      <c r="P602" s="172"/>
      <c r="Q602" s="172"/>
      <c r="R602" s="172"/>
      <c r="S602" s="172"/>
    </row>
    <row r="603" spans="4:19" x14ac:dyDescent="0.3">
      <c r="D603" s="172"/>
      <c r="E603" s="172"/>
      <c r="F603" s="172"/>
      <c r="G603" s="172"/>
      <c r="H603" s="172"/>
      <c r="I603" s="172"/>
      <c r="J603" s="172"/>
      <c r="K603" s="172"/>
      <c r="L603" s="172"/>
      <c r="M603" s="172"/>
      <c r="N603" s="172"/>
      <c r="O603" s="172"/>
      <c r="P603" s="172"/>
      <c r="Q603" s="172"/>
      <c r="R603" s="172"/>
      <c r="S603" s="172"/>
    </row>
    <row r="604" spans="4:19" x14ac:dyDescent="0.3">
      <c r="D604" s="172"/>
      <c r="E604" s="172"/>
      <c r="F604" s="172"/>
      <c r="G604" s="172"/>
      <c r="H604" s="172"/>
      <c r="I604" s="172"/>
      <c r="J604" s="172"/>
      <c r="K604" s="172"/>
      <c r="L604" s="172"/>
      <c r="M604" s="172"/>
      <c r="N604" s="172"/>
      <c r="O604" s="172"/>
      <c r="P604" s="172"/>
      <c r="Q604" s="172"/>
      <c r="R604" s="172"/>
      <c r="S604" s="172"/>
    </row>
    <row r="606" spans="4:19" ht="15.6" x14ac:dyDescent="0.3">
      <c r="D606" s="80" t="s">
        <v>672</v>
      </c>
      <c r="E606" s="80"/>
      <c r="F606" s="80"/>
      <c r="G606" s="80"/>
    </row>
    <row r="607" spans="4:19" ht="15.6" x14ac:dyDescent="0.3">
      <c r="D607" s="80"/>
      <c r="E607" s="80"/>
      <c r="F607" s="80"/>
      <c r="G607" s="80"/>
    </row>
    <row r="608" spans="4:19" x14ac:dyDescent="0.3">
      <c r="D608" s="172" t="s">
        <v>673</v>
      </c>
      <c r="E608" s="172"/>
      <c r="F608" s="172"/>
      <c r="G608" s="172"/>
      <c r="H608" s="172"/>
      <c r="I608" s="172"/>
      <c r="J608" s="172"/>
      <c r="K608" s="172"/>
      <c r="L608" s="172"/>
      <c r="M608" s="172"/>
      <c r="N608" s="172"/>
      <c r="O608" s="172"/>
      <c r="P608" s="172"/>
      <c r="Q608" s="172"/>
      <c r="R608" s="172"/>
      <c r="S608" s="172"/>
    </row>
    <row r="609" spans="3:19" x14ac:dyDescent="0.3">
      <c r="D609" s="172"/>
      <c r="E609" s="172"/>
      <c r="F609" s="172"/>
      <c r="G609" s="172"/>
      <c r="H609" s="172"/>
      <c r="I609" s="172"/>
      <c r="J609" s="172"/>
      <c r="K609" s="172"/>
      <c r="L609" s="172"/>
      <c r="M609" s="172"/>
      <c r="N609" s="172"/>
      <c r="O609" s="172"/>
      <c r="P609" s="172"/>
      <c r="Q609" s="172"/>
      <c r="R609" s="172"/>
      <c r="S609" s="172"/>
    </row>
    <row r="610" spans="3:19" x14ac:dyDescent="0.3">
      <c r="D610" s="172"/>
      <c r="E610" s="172"/>
      <c r="F610" s="172"/>
      <c r="G610" s="172"/>
      <c r="H610" s="172"/>
      <c r="I610" s="172"/>
      <c r="J610" s="172"/>
      <c r="K610" s="172"/>
      <c r="L610" s="172"/>
      <c r="M610" s="172"/>
      <c r="N610" s="172"/>
      <c r="O610" s="172"/>
      <c r="P610" s="172"/>
      <c r="Q610" s="172"/>
      <c r="R610" s="172"/>
      <c r="S610" s="172"/>
    </row>
    <row r="612" spans="3:19" ht="15.6" x14ac:dyDescent="0.3">
      <c r="D612" s="80" t="s">
        <v>674</v>
      </c>
    </row>
    <row r="614" spans="3:19" x14ac:dyDescent="0.3">
      <c r="D614" s="173" t="s">
        <v>675</v>
      </c>
      <c r="E614" s="173"/>
      <c r="F614" s="173"/>
      <c r="G614" s="173"/>
      <c r="H614" s="173"/>
      <c r="I614" s="173"/>
      <c r="J614" s="173"/>
      <c r="K614" s="173"/>
      <c r="L614" s="173"/>
      <c r="M614" s="173"/>
      <c r="N614" s="173"/>
      <c r="O614" s="173"/>
      <c r="P614" s="173"/>
      <c r="Q614" s="173"/>
      <c r="R614" s="173"/>
      <c r="S614" s="173"/>
    </row>
    <row r="615" spans="3:19" x14ac:dyDescent="0.3">
      <c r="D615" s="173"/>
      <c r="E615" s="173"/>
      <c r="F615" s="173"/>
      <c r="G615" s="173"/>
      <c r="H615" s="173"/>
      <c r="I615" s="173"/>
      <c r="J615" s="173"/>
      <c r="K615" s="173"/>
      <c r="L615" s="173"/>
      <c r="M615" s="173"/>
      <c r="N615" s="173"/>
      <c r="O615" s="173"/>
      <c r="P615" s="173"/>
      <c r="Q615" s="173"/>
      <c r="R615" s="173"/>
      <c r="S615" s="173"/>
    </row>
    <row r="616" spans="3:19" x14ac:dyDescent="0.3">
      <c r="D616" s="173"/>
      <c r="E616" s="173"/>
      <c r="F616" s="173"/>
      <c r="G616" s="173"/>
      <c r="H616" s="173"/>
      <c r="I616" s="173"/>
      <c r="J616" s="173"/>
      <c r="K616" s="173"/>
      <c r="L616" s="173"/>
      <c r="M616" s="173"/>
      <c r="N616" s="173"/>
      <c r="O616" s="173"/>
      <c r="P616" s="173"/>
      <c r="Q616" s="173"/>
      <c r="R616" s="173"/>
      <c r="S616" s="173"/>
    </row>
    <row r="618" spans="3:19" ht="15.6" x14ac:dyDescent="0.3">
      <c r="C618" s="174" t="s">
        <v>676</v>
      </c>
      <c r="D618" s="174"/>
      <c r="E618" s="174"/>
    </row>
    <row r="620" spans="3:19" ht="15.6" x14ac:dyDescent="0.3">
      <c r="C620" s="80" t="s">
        <v>677</v>
      </c>
      <c r="D620" s="80"/>
      <c r="E620" s="80"/>
      <c r="F620" s="80"/>
      <c r="G620" s="80"/>
      <c r="H620" s="80"/>
    </row>
    <row r="622" spans="3:19" x14ac:dyDescent="0.3">
      <c r="D622" s="175" t="s">
        <v>678</v>
      </c>
      <c r="E622" s="175"/>
      <c r="F622" s="175"/>
      <c r="G622" s="175"/>
      <c r="H622" s="175"/>
      <c r="I622" s="175"/>
      <c r="J622" s="175"/>
      <c r="K622" s="175"/>
      <c r="L622" s="175"/>
      <c r="M622" s="175"/>
      <c r="N622" s="175"/>
      <c r="O622" s="175"/>
      <c r="P622" s="175"/>
      <c r="Q622" s="175"/>
      <c r="R622" s="175"/>
      <c r="S622" s="175"/>
    </row>
    <row r="623" spans="3:19" x14ac:dyDescent="0.3">
      <c r="D623" s="175"/>
      <c r="E623" s="175"/>
      <c r="F623" s="175"/>
      <c r="G623" s="175"/>
      <c r="H623" s="175"/>
      <c r="I623" s="175"/>
      <c r="J623" s="175"/>
      <c r="K623" s="175"/>
      <c r="L623" s="175"/>
      <c r="M623" s="175"/>
      <c r="N623" s="175"/>
      <c r="O623" s="175"/>
      <c r="P623" s="175"/>
      <c r="Q623" s="175"/>
      <c r="R623" s="175"/>
      <c r="S623" s="175"/>
    </row>
    <row r="624" spans="3:19" x14ac:dyDescent="0.3">
      <c r="D624" s="175"/>
      <c r="E624" s="175"/>
      <c r="F624" s="175"/>
      <c r="G624" s="175"/>
      <c r="H624" s="175"/>
      <c r="I624" s="175"/>
      <c r="J624" s="175"/>
      <c r="K624" s="175"/>
      <c r="L624" s="175"/>
      <c r="M624" s="175"/>
      <c r="N624" s="175"/>
      <c r="O624" s="175"/>
      <c r="P624" s="175"/>
      <c r="Q624" s="175"/>
      <c r="R624" s="175"/>
      <c r="S624" s="175"/>
    </row>
    <row r="625" spans="4:19" x14ac:dyDescent="0.3">
      <c r="D625" s="175"/>
      <c r="E625" s="175"/>
      <c r="F625" s="175"/>
      <c r="G625" s="175"/>
      <c r="H625" s="175"/>
      <c r="I625" s="175"/>
      <c r="J625" s="175"/>
      <c r="K625" s="175"/>
      <c r="L625" s="175"/>
      <c r="M625" s="175"/>
      <c r="N625" s="175"/>
      <c r="O625" s="175"/>
      <c r="P625" s="175"/>
      <c r="Q625" s="175"/>
      <c r="R625" s="175"/>
      <c r="S625" s="175"/>
    </row>
    <row r="626" spans="4:19" x14ac:dyDescent="0.3">
      <c r="D626" s="175"/>
      <c r="E626" s="175"/>
      <c r="F626" s="175"/>
      <c r="G626" s="175"/>
      <c r="H626" s="175"/>
      <c r="I626" s="175"/>
      <c r="J626" s="175"/>
      <c r="K626" s="175"/>
      <c r="L626" s="175"/>
      <c r="M626" s="175"/>
      <c r="N626" s="175"/>
      <c r="O626" s="175"/>
      <c r="P626" s="175"/>
      <c r="Q626" s="175"/>
      <c r="R626" s="175"/>
      <c r="S626" s="175"/>
    </row>
    <row r="627" spans="4:19" x14ac:dyDescent="0.3">
      <c r="D627" s="175"/>
      <c r="E627" s="175"/>
      <c r="F627" s="175"/>
      <c r="G627" s="175"/>
      <c r="H627" s="175"/>
      <c r="I627" s="175"/>
      <c r="J627" s="175"/>
      <c r="K627" s="175"/>
      <c r="L627" s="175"/>
      <c r="M627" s="175"/>
      <c r="N627" s="175"/>
      <c r="O627" s="175"/>
      <c r="P627" s="175"/>
      <c r="Q627" s="175"/>
      <c r="R627" s="175"/>
      <c r="S627" s="175"/>
    </row>
    <row r="628" spans="4:19" x14ac:dyDescent="0.3">
      <c r="D628" s="175"/>
      <c r="E628" s="175"/>
      <c r="F628" s="175"/>
      <c r="G628" s="175"/>
      <c r="H628" s="175"/>
      <c r="I628" s="175"/>
      <c r="J628" s="175"/>
      <c r="K628" s="175"/>
      <c r="L628" s="175"/>
      <c r="M628" s="175"/>
      <c r="N628" s="175"/>
      <c r="O628" s="175"/>
      <c r="P628" s="175"/>
      <c r="Q628" s="175"/>
      <c r="R628" s="175"/>
      <c r="S628" s="175"/>
    </row>
    <row r="630" spans="4:19" ht="15.6" x14ac:dyDescent="0.3">
      <c r="D630" s="80" t="s">
        <v>677</v>
      </c>
    </row>
    <row r="632" spans="4:19" x14ac:dyDescent="0.3">
      <c r="D632" s="172" t="s">
        <v>679</v>
      </c>
      <c r="E632" s="172"/>
      <c r="F632" s="172"/>
      <c r="G632" s="172"/>
      <c r="H632" s="172"/>
      <c r="I632" s="172"/>
      <c r="J632" s="172"/>
      <c r="K632" s="172"/>
      <c r="L632" s="172"/>
      <c r="M632" s="172"/>
      <c r="N632" s="172"/>
      <c r="O632" s="172"/>
      <c r="P632" s="172"/>
      <c r="Q632" s="172"/>
      <c r="R632" s="172"/>
      <c r="S632" s="172"/>
    </row>
    <row r="633" spans="4:19" x14ac:dyDescent="0.3">
      <c r="D633" s="172"/>
      <c r="E633" s="172"/>
      <c r="F633" s="172"/>
      <c r="G633" s="172"/>
      <c r="H633" s="172"/>
      <c r="I633" s="172"/>
      <c r="J633" s="172"/>
      <c r="K633" s="172"/>
      <c r="L633" s="172"/>
      <c r="M633" s="172"/>
      <c r="N633" s="172"/>
      <c r="O633" s="172"/>
      <c r="P633" s="172"/>
      <c r="Q633" s="172"/>
      <c r="R633" s="172"/>
      <c r="S633" s="172"/>
    </row>
    <row r="634" spans="4:19" x14ac:dyDescent="0.3">
      <c r="D634" s="172"/>
      <c r="E634" s="172"/>
      <c r="F634" s="172"/>
      <c r="G634" s="172"/>
      <c r="H634" s="172"/>
      <c r="I634" s="172"/>
      <c r="J634" s="172"/>
      <c r="K634" s="172"/>
      <c r="L634" s="172"/>
      <c r="M634" s="172"/>
      <c r="N634" s="172"/>
      <c r="O634" s="172"/>
      <c r="P634" s="172"/>
      <c r="Q634" s="172"/>
      <c r="R634" s="172"/>
      <c r="S634" s="172"/>
    </row>
    <row r="635" spans="4:19" x14ac:dyDescent="0.3">
      <c r="D635" s="172"/>
      <c r="E635" s="172"/>
      <c r="F635" s="172"/>
      <c r="G635" s="172"/>
      <c r="H635" s="172"/>
      <c r="I635" s="172"/>
      <c r="J635" s="172"/>
      <c r="K635" s="172"/>
      <c r="L635" s="172"/>
      <c r="M635" s="172"/>
      <c r="N635" s="172"/>
      <c r="O635" s="172"/>
      <c r="P635" s="172"/>
      <c r="Q635" s="172"/>
      <c r="R635" s="172"/>
      <c r="S635" s="172"/>
    </row>
    <row r="637" spans="4:19" ht="15.6" x14ac:dyDescent="0.3">
      <c r="D637" s="80" t="s">
        <v>680</v>
      </c>
    </row>
    <row r="639" spans="4:19" x14ac:dyDescent="0.3">
      <c r="D639" s="173" t="s">
        <v>681</v>
      </c>
      <c r="E639" s="173"/>
      <c r="F639" s="173"/>
      <c r="G639" s="173"/>
      <c r="H639" s="173"/>
      <c r="I639" s="173"/>
      <c r="J639" s="173"/>
      <c r="K639" s="173"/>
      <c r="L639" s="173"/>
      <c r="M639" s="173"/>
      <c r="N639" s="173"/>
      <c r="O639" s="173"/>
      <c r="P639" s="173"/>
      <c r="Q639" s="173"/>
      <c r="R639" s="173"/>
      <c r="S639" s="173"/>
    </row>
    <row r="640" spans="4:19" x14ac:dyDescent="0.3">
      <c r="D640" s="173"/>
      <c r="E640" s="173"/>
      <c r="F640" s="173"/>
      <c r="G640" s="173"/>
      <c r="H640" s="173"/>
      <c r="I640" s="173"/>
      <c r="J640" s="173"/>
      <c r="K640" s="173"/>
      <c r="L640" s="173"/>
      <c r="M640" s="173"/>
      <c r="N640" s="173"/>
      <c r="O640" s="173"/>
      <c r="P640" s="173"/>
      <c r="Q640" s="173"/>
      <c r="R640" s="173"/>
      <c r="S640" s="173"/>
    </row>
    <row r="641" spans="4:19" x14ac:dyDescent="0.3">
      <c r="D641" s="173"/>
      <c r="E641" s="173"/>
      <c r="F641" s="173"/>
      <c r="G641" s="173"/>
      <c r="H641" s="173"/>
      <c r="I641" s="173"/>
      <c r="J641" s="173"/>
      <c r="K641" s="173"/>
      <c r="L641" s="173"/>
      <c r="M641" s="173"/>
      <c r="N641" s="173"/>
      <c r="O641" s="173"/>
      <c r="P641" s="173"/>
      <c r="Q641" s="173"/>
      <c r="R641" s="173"/>
      <c r="S641" s="173"/>
    </row>
    <row r="642" spans="4:19" x14ac:dyDescent="0.3">
      <c r="D642" s="173"/>
      <c r="E642" s="173"/>
      <c r="F642" s="173"/>
      <c r="G642" s="173"/>
      <c r="H642" s="173"/>
      <c r="I642" s="173"/>
      <c r="J642" s="173"/>
      <c r="K642" s="173"/>
      <c r="L642" s="173"/>
      <c r="M642" s="173"/>
      <c r="N642" s="173"/>
      <c r="O642" s="173"/>
      <c r="P642" s="173"/>
      <c r="Q642" s="173"/>
      <c r="R642" s="173"/>
      <c r="S642" s="173"/>
    </row>
    <row r="644" spans="4:19" ht="15.6" x14ac:dyDescent="0.3">
      <c r="D644" s="80" t="s">
        <v>682</v>
      </c>
    </row>
    <row r="646" spans="4:19" x14ac:dyDescent="0.3">
      <c r="D646" s="173" t="s">
        <v>678</v>
      </c>
      <c r="E646" s="173"/>
      <c r="F646" s="173"/>
      <c r="G646" s="173"/>
      <c r="H646" s="173"/>
      <c r="I646" s="173"/>
      <c r="J646" s="173"/>
      <c r="K646" s="173"/>
      <c r="L646" s="173"/>
      <c r="M646" s="173"/>
      <c r="N646" s="173"/>
      <c r="O646" s="173"/>
      <c r="P646" s="173"/>
      <c r="Q646" s="173"/>
      <c r="R646" s="173"/>
      <c r="S646" s="173"/>
    </row>
    <row r="647" spans="4:19" x14ac:dyDescent="0.3">
      <c r="D647" s="173"/>
      <c r="E647" s="173"/>
      <c r="F647" s="173"/>
      <c r="G647" s="173"/>
      <c r="H647" s="173"/>
      <c r="I647" s="173"/>
      <c r="J647" s="173"/>
      <c r="K647" s="173"/>
      <c r="L647" s="173"/>
      <c r="M647" s="173"/>
      <c r="N647" s="173"/>
      <c r="O647" s="173"/>
      <c r="P647" s="173"/>
      <c r="Q647" s="173"/>
      <c r="R647" s="173"/>
      <c r="S647" s="173"/>
    </row>
    <row r="648" spans="4:19" x14ac:dyDescent="0.3">
      <c r="D648" s="173"/>
      <c r="E648" s="173"/>
      <c r="F648" s="173"/>
      <c r="G648" s="173"/>
      <c r="H648" s="173"/>
      <c r="I648" s="173"/>
      <c r="J648" s="173"/>
      <c r="K648" s="173"/>
      <c r="L648" s="173"/>
      <c r="M648" s="173"/>
      <c r="N648" s="173"/>
      <c r="O648" s="173"/>
      <c r="P648" s="173"/>
      <c r="Q648" s="173"/>
      <c r="R648" s="173"/>
      <c r="S648" s="173"/>
    </row>
    <row r="649" spans="4:19" x14ac:dyDescent="0.3">
      <c r="D649" s="173"/>
      <c r="E649" s="173"/>
      <c r="F649" s="173"/>
      <c r="G649" s="173"/>
      <c r="H649" s="173"/>
      <c r="I649" s="173"/>
      <c r="J649" s="173"/>
      <c r="K649" s="173"/>
      <c r="L649" s="173"/>
      <c r="M649" s="173"/>
      <c r="N649" s="173"/>
      <c r="O649" s="173"/>
      <c r="P649" s="173"/>
      <c r="Q649" s="173"/>
      <c r="R649" s="173"/>
      <c r="S649" s="173"/>
    </row>
    <row r="650" spans="4:19" x14ac:dyDescent="0.3">
      <c r="D650" s="173"/>
      <c r="E650" s="173"/>
      <c r="F650" s="173"/>
      <c r="G650" s="173"/>
      <c r="H650" s="173"/>
      <c r="I650" s="173"/>
      <c r="J650" s="173"/>
      <c r="K650" s="173"/>
      <c r="L650" s="173"/>
      <c r="M650" s="173"/>
      <c r="N650" s="173"/>
      <c r="O650" s="173"/>
      <c r="P650" s="173"/>
      <c r="Q650" s="173"/>
      <c r="R650" s="173"/>
      <c r="S650" s="173"/>
    </row>
    <row r="651" spans="4:19" x14ac:dyDescent="0.3">
      <c r="D651" s="173"/>
      <c r="E651" s="173"/>
      <c r="F651" s="173"/>
      <c r="G651" s="173"/>
      <c r="H651" s="173"/>
      <c r="I651" s="173"/>
      <c r="J651" s="173"/>
      <c r="K651" s="173"/>
      <c r="L651" s="173"/>
      <c r="M651" s="173"/>
      <c r="N651" s="173"/>
      <c r="O651" s="173"/>
      <c r="P651" s="173"/>
      <c r="Q651" s="173"/>
      <c r="R651" s="173"/>
      <c r="S651" s="173"/>
    </row>
    <row r="653" spans="4:19" ht="15.6" x14ac:dyDescent="0.3">
      <c r="D653" s="80" t="s">
        <v>683</v>
      </c>
    </row>
    <row r="655" spans="4:19" x14ac:dyDescent="0.3">
      <c r="D655" s="172" t="s">
        <v>684</v>
      </c>
      <c r="E655" s="172"/>
      <c r="F655" s="172"/>
      <c r="G655" s="172"/>
      <c r="H655" s="172"/>
      <c r="I655" s="172"/>
      <c r="J655" s="172"/>
      <c r="K655" s="172"/>
      <c r="L655" s="172"/>
      <c r="M655" s="172"/>
      <c r="N655" s="172"/>
      <c r="O655" s="172"/>
      <c r="P655" s="172"/>
      <c r="Q655" s="172"/>
      <c r="R655" s="172"/>
      <c r="S655" s="172"/>
    </row>
    <row r="656" spans="4:19" x14ac:dyDescent="0.3">
      <c r="D656" s="172"/>
      <c r="E656" s="172"/>
      <c r="F656" s="172"/>
      <c r="G656" s="172"/>
      <c r="H656" s="172"/>
      <c r="I656" s="172"/>
      <c r="J656" s="172"/>
      <c r="K656" s="172"/>
      <c r="L656" s="172"/>
      <c r="M656" s="172"/>
      <c r="N656" s="172"/>
      <c r="O656" s="172"/>
      <c r="P656" s="172"/>
      <c r="Q656" s="172"/>
      <c r="R656" s="172"/>
      <c r="S656" s="172"/>
    </row>
    <row r="657" spans="4:19" x14ac:dyDescent="0.3">
      <c r="D657" s="172"/>
      <c r="E657" s="172"/>
      <c r="F657" s="172"/>
      <c r="G657" s="172"/>
      <c r="H657" s="172"/>
      <c r="I657" s="172"/>
      <c r="J657" s="172"/>
      <c r="K657" s="172"/>
      <c r="L657" s="172"/>
      <c r="M657" s="172"/>
      <c r="N657" s="172"/>
      <c r="O657" s="172"/>
      <c r="P657" s="172"/>
      <c r="Q657" s="172"/>
      <c r="R657" s="172"/>
      <c r="S657" s="172"/>
    </row>
    <row r="658" spans="4:19" x14ac:dyDescent="0.3">
      <c r="D658" s="172"/>
      <c r="E658" s="172"/>
      <c r="F658" s="172"/>
      <c r="G658" s="172"/>
      <c r="H658" s="172"/>
      <c r="I658" s="172"/>
      <c r="J658" s="172"/>
      <c r="K658" s="172"/>
      <c r="L658" s="172"/>
      <c r="M658" s="172"/>
      <c r="N658" s="172"/>
      <c r="O658" s="172"/>
      <c r="P658" s="172"/>
      <c r="Q658" s="172"/>
      <c r="R658" s="172"/>
      <c r="S658" s="172"/>
    </row>
    <row r="660" spans="4:19" ht="15.6" x14ac:dyDescent="0.3">
      <c r="D660" s="80" t="s">
        <v>685</v>
      </c>
    </row>
    <row r="662" spans="4:19" x14ac:dyDescent="0.3">
      <c r="D662" s="172" t="s">
        <v>686</v>
      </c>
      <c r="E662" s="172"/>
      <c r="F662" s="172"/>
      <c r="G662" s="172"/>
      <c r="H662" s="172"/>
      <c r="I662" s="172"/>
      <c r="J662" s="172"/>
      <c r="K662" s="172"/>
      <c r="L662" s="172"/>
      <c r="M662" s="172"/>
      <c r="N662" s="172"/>
      <c r="O662" s="172"/>
      <c r="P662" s="172"/>
      <c r="Q662" s="172"/>
      <c r="R662" s="172"/>
      <c r="S662" s="172"/>
    </row>
    <row r="663" spans="4:19" x14ac:dyDescent="0.3">
      <c r="D663" s="172"/>
      <c r="E663" s="172"/>
      <c r="F663" s="172"/>
      <c r="G663" s="172"/>
      <c r="H663" s="172"/>
      <c r="I663" s="172"/>
      <c r="J663" s="172"/>
      <c r="K663" s="172"/>
      <c r="L663" s="172"/>
      <c r="M663" s="172"/>
      <c r="N663" s="172"/>
      <c r="O663" s="172"/>
      <c r="P663" s="172"/>
      <c r="Q663" s="172"/>
      <c r="R663" s="172"/>
      <c r="S663" s="172"/>
    </row>
    <row r="664" spans="4:19" x14ac:dyDescent="0.3">
      <c r="D664" s="172"/>
      <c r="E664" s="172"/>
      <c r="F664" s="172"/>
      <c r="G664" s="172"/>
      <c r="H664" s="172"/>
      <c r="I664" s="172"/>
      <c r="J664" s="172"/>
      <c r="K664" s="172"/>
      <c r="L664" s="172"/>
      <c r="M664" s="172"/>
      <c r="N664" s="172"/>
      <c r="O664" s="172"/>
      <c r="P664" s="172"/>
      <c r="Q664" s="172"/>
      <c r="R664" s="172"/>
      <c r="S664" s="172"/>
    </row>
    <row r="665" spans="4:19" x14ac:dyDescent="0.3">
      <c r="D665" s="172"/>
      <c r="E665" s="172"/>
      <c r="F665" s="172"/>
      <c r="G665" s="172"/>
      <c r="H665" s="172"/>
      <c r="I665" s="172"/>
      <c r="J665" s="172"/>
      <c r="K665" s="172"/>
      <c r="L665" s="172"/>
      <c r="M665" s="172"/>
      <c r="N665" s="172"/>
      <c r="O665" s="172"/>
      <c r="P665" s="172"/>
      <c r="Q665" s="172"/>
      <c r="R665" s="172"/>
      <c r="S665" s="172"/>
    </row>
  </sheetData>
  <mergeCells count="155">
    <mergeCell ref="D376:E376"/>
    <mergeCell ref="D378:Q380"/>
    <mergeCell ref="D382:Q384"/>
    <mergeCell ref="D386:Q388"/>
    <mergeCell ref="D390:Q392"/>
    <mergeCell ref="D358:E358"/>
    <mergeCell ref="D360:Q362"/>
    <mergeCell ref="D364:Q366"/>
    <mergeCell ref="D368:Q370"/>
    <mergeCell ref="D372:Q374"/>
    <mergeCell ref="D340:E340"/>
    <mergeCell ref="D342:Q344"/>
    <mergeCell ref="D346:Q348"/>
    <mergeCell ref="D350:Q352"/>
    <mergeCell ref="D354:Q356"/>
    <mergeCell ref="I5:M5"/>
    <mergeCell ref="D222:Q224"/>
    <mergeCell ref="B226:D226"/>
    <mergeCell ref="E226:J226"/>
    <mergeCell ref="D228:Q229"/>
    <mergeCell ref="D173:Q176"/>
    <mergeCell ref="D178:Q180"/>
    <mergeCell ref="D182:Q185"/>
    <mergeCell ref="B187:D187"/>
    <mergeCell ref="E187:F187"/>
    <mergeCell ref="D189:Q193"/>
    <mergeCell ref="D144:Q146"/>
    <mergeCell ref="D149:Q152"/>
    <mergeCell ref="D157:Q159"/>
    <mergeCell ref="D162:Q164"/>
    <mergeCell ref="D166:Q168"/>
    <mergeCell ref="D233:Q234"/>
    <mergeCell ref="D237:Q241"/>
    <mergeCell ref="D196:Q199"/>
    <mergeCell ref="D201:Q204"/>
    <mergeCell ref="B206:D206"/>
    <mergeCell ref="E206:M206"/>
    <mergeCell ref="D208:Q210"/>
    <mergeCell ref="D215:Q219"/>
    <mergeCell ref="B171:D171"/>
    <mergeCell ref="E171:J171"/>
    <mergeCell ref="C122:E122"/>
    <mergeCell ref="D124:Q126"/>
    <mergeCell ref="D129:Q132"/>
    <mergeCell ref="D134:Q136"/>
    <mergeCell ref="C137:E137"/>
    <mergeCell ref="D139:Q141"/>
    <mergeCell ref="D118:Q119"/>
    <mergeCell ref="C90:E90"/>
    <mergeCell ref="C92:E92"/>
    <mergeCell ref="C94:E94"/>
    <mergeCell ref="C96:E96"/>
    <mergeCell ref="C98:E98"/>
    <mergeCell ref="C100:E100"/>
    <mergeCell ref="C102:E102"/>
    <mergeCell ref="C104:E104"/>
    <mergeCell ref="C108:D108"/>
    <mergeCell ref="D110:Q111"/>
    <mergeCell ref="D115:Q116"/>
    <mergeCell ref="O89:P89"/>
    <mergeCell ref="B60:B70"/>
    <mergeCell ref="E60:S60"/>
    <mergeCell ref="D64:S65"/>
    <mergeCell ref="E68:S69"/>
    <mergeCell ref="B73:B83"/>
    <mergeCell ref="D73:S73"/>
    <mergeCell ref="D77:S78"/>
    <mergeCell ref="D81:S82"/>
    <mergeCell ref="H86:L86"/>
    <mergeCell ref="G89:H89"/>
    <mergeCell ref="I89:J89"/>
    <mergeCell ref="K89:L89"/>
    <mergeCell ref="M89:N89"/>
    <mergeCell ref="B39:B46"/>
    <mergeCell ref="E39:T41"/>
    <mergeCell ref="D42:P43"/>
    <mergeCell ref="D44:Q46"/>
    <mergeCell ref="B49:B57"/>
    <mergeCell ref="E49:T51"/>
    <mergeCell ref="D52:Q53"/>
    <mergeCell ref="E55:T58"/>
    <mergeCell ref="D9:S23"/>
    <mergeCell ref="D28:J28"/>
    <mergeCell ref="B29:B36"/>
    <mergeCell ref="D29:P29"/>
    <mergeCell ref="D32:K32"/>
    <mergeCell ref="D35:P36"/>
    <mergeCell ref="C245:D245"/>
    <mergeCell ref="D247:Q250"/>
    <mergeCell ref="D252:Q254"/>
    <mergeCell ref="D256:Q258"/>
    <mergeCell ref="D260:Q262"/>
    <mergeCell ref="D265:J265"/>
    <mergeCell ref="D267:Q269"/>
    <mergeCell ref="D271:Q273"/>
    <mergeCell ref="D275:Q277"/>
    <mergeCell ref="D279:Q281"/>
    <mergeCell ref="D285:Q287"/>
    <mergeCell ref="D289:Q291"/>
    <mergeCell ref="D293:Q295"/>
    <mergeCell ref="D297:Q299"/>
    <mergeCell ref="D303:Q305"/>
    <mergeCell ref="D332:Q334"/>
    <mergeCell ref="D336:Q338"/>
    <mergeCell ref="D307:Q310"/>
    <mergeCell ref="D312:Q315"/>
    <mergeCell ref="D317:Q320"/>
    <mergeCell ref="D324:Q326"/>
    <mergeCell ref="D328:Q330"/>
    <mergeCell ref="D426:Q428"/>
    <mergeCell ref="C394:E394"/>
    <mergeCell ref="D396:Q398"/>
    <mergeCell ref="D400:Q402"/>
    <mergeCell ref="D404:Q406"/>
    <mergeCell ref="D408:Q410"/>
    <mergeCell ref="C412:E412"/>
    <mergeCell ref="D414:Q416"/>
    <mergeCell ref="D418:Q420"/>
    <mergeCell ref="D422:Q424"/>
    <mergeCell ref="D438:S444"/>
    <mergeCell ref="D448:S450"/>
    <mergeCell ref="D454:S456"/>
    <mergeCell ref="D460:S464"/>
    <mergeCell ref="D468:S470"/>
    <mergeCell ref="D474:S476"/>
    <mergeCell ref="D479:S483"/>
    <mergeCell ref="D434:E434"/>
    <mergeCell ref="C486:D486"/>
    <mergeCell ref="D490:S495"/>
    <mergeCell ref="D499:S502"/>
    <mergeCell ref="D506:S508"/>
    <mergeCell ref="D512:S514"/>
    <mergeCell ref="D519:S521"/>
    <mergeCell ref="D526:S528"/>
    <mergeCell ref="C531:D531"/>
    <mergeCell ref="D535:S539"/>
    <mergeCell ref="D543:S545"/>
    <mergeCell ref="D549:S551"/>
    <mergeCell ref="D555:S560"/>
    <mergeCell ref="D564:S567"/>
    <mergeCell ref="D571:S575"/>
    <mergeCell ref="C577:D577"/>
    <mergeCell ref="D582:S585"/>
    <mergeCell ref="D589:S591"/>
    <mergeCell ref="D595:S597"/>
    <mergeCell ref="D601:S604"/>
    <mergeCell ref="D608:S610"/>
    <mergeCell ref="D614:S616"/>
    <mergeCell ref="C618:E618"/>
    <mergeCell ref="D622:S628"/>
    <mergeCell ref="D632:S635"/>
    <mergeCell ref="D639:S642"/>
    <mergeCell ref="D646:S651"/>
    <mergeCell ref="D655:S658"/>
    <mergeCell ref="D662:S665"/>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8AF23-853E-4EF0-AAB7-FC20C52A5F7F}">
  <dimension ref="A4:R348"/>
  <sheetViews>
    <sheetView view="pageBreakPreview" topLeftCell="B328" zoomScale="102" zoomScaleNormal="100" zoomScaleSheetLayoutView="102" workbookViewId="0">
      <selection activeCell="B35" sqref="B35:O43"/>
    </sheetView>
  </sheetViews>
  <sheetFormatPr baseColWidth="10" defaultRowHeight="14.4" x14ac:dyDescent="0.3"/>
  <cols>
    <col min="2" max="2" width="13.21875" customWidth="1"/>
    <col min="6" max="6" width="13.5546875" customWidth="1"/>
  </cols>
  <sheetData>
    <row r="4" spans="3:15" ht="15" thickBot="1" x14ac:dyDescent="0.35"/>
    <row r="5" spans="3:15" ht="18.600000000000001" thickBot="1" x14ac:dyDescent="0.4">
      <c r="G5" s="258" t="s">
        <v>338</v>
      </c>
      <c r="H5" s="259"/>
      <c r="I5" s="259"/>
      <c r="J5" s="259"/>
      <c r="K5" s="260"/>
    </row>
    <row r="7" spans="3:15" ht="15" thickBot="1" x14ac:dyDescent="0.35"/>
    <row r="8" spans="3:15" x14ac:dyDescent="0.3">
      <c r="C8" s="338" t="s">
        <v>455</v>
      </c>
      <c r="D8" s="339"/>
      <c r="E8" s="339"/>
      <c r="F8" s="339"/>
      <c r="G8" s="339"/>
      <c r="H8" s="339"/>
      <c r="I8" s="339"/>
      <c r="J8" s="339"/>
      <c r="K8" s="339"/>
      <c r="L8" s="339"/>
      <c r="M8" s="339"/>
      <c r="N8" s="339"/>
      <c r="O8" s="340"/>
    </row>
    <row r="9" spans="3:15" x14ac:dyDescent="0.3">
      <c r="C9" s="341"/>
      <c r="D9" s="342"/>
      <c r="E9" s="342"/>
      <c r="F9" s="342"/>
      <c r="G9" s="342"/>
      <c r="H9" s="342"/>
      <c r="I9" s="342"/>
      <c r="J9" s="342"/>
      <c r="K9" s="342"/>
      <c r="L9" s="342"/>
      <c r="M9" s="342"/>
      <c r="N9" s="342"/>
      <c r="O9" s="343"/>
    </row>
    <row r="10" spans="3:15" x14ac:dyDescent="0.3">
      <c r="C10" s="341"/>
      <c r="D10" s="342"/>
      <c r="E10" s="342"/>
      <c r="F10" s="342"/>
      <c r="G10" s="342"/>
      <c r="H10" s="342"/>
      <c r="I10" s="342"/>
      <c r="J10" s="342"/>
      <c r="K10" s="342"/>
      <c r="L10" s="342"/>
      <c r="M10" s="342"/>
      <c r="N10" s="342"/>
      <c r="O10" s="343"/>
    </row>
    <row r="11" spans="3:15" x14ac:dyDescent="0.3">
      <c r="C11" s="341"/>
      <c r="D11" s="342"/>
      <c r="E11" s="342"/>
      <c r="F11" s="342"/>
      <c r="G11" s="342"/>
      <c r="H11" s="342"/>
      <c r="I11" s="342"/>
      <c r="J11" s="342"/>
      <c r="K11" s="342"/>
      <c r="L11" s="342"/>
      <c r="M11" s="342"/>
      <c r="N11" s="342"/>
      <c r="O11" s="343"/>
    </row>
    <row r="12" spans="3:15" x14ac:dyDescent="0.3">
      <c r="C12" s="341"/>
      <c r="D12" s="342"/>
      <c r="E12" s="342"/>
      <c r="F12" s="342"/>
      <c r="G12" s="342"/>
      <c r="H12" s="342"/>
      <c r="I12" s="342"/>
      <c r="J12" s="342"/>
      <c r="K12" s="342"/>
      <c r="L12" s="342"/>
      <c r="M12" s="342"/>
      <c r="N12" s="342"/>
      <c r="O12" s="343"/>
    </row>
    <row r="13" spans="3:15" x14ac:dyDescent="0.3">
      <c r="C13" s="341"/>
      <c r="D13" s="342"/>
      <c r="E13" s="342"/>
      <c r="F13" s="342"/>
      <c r="G13" s="342"/>
      <c r="H13" s="342"/>
      <c r="I13" s="342"/>
      <c r="J13" s="342"/>
      <c r="K13" s="342"/>
      <c r="L13" s="342"/>
      <c r="M13" s="342"/>
      <c r="N13" s="342"/>
      <c r="O13" s="343"/>
    </row>
    <row r="14" spans="3:15" x14ac:dyDescent="0.3">
      <c r="C14" s="341"/>
      <c r="D14" s="342"/>
      <c r="E14" s="342"/>
      <c r="F14" s="342"/>
      <c r="G14" s="342"/>
      <c r="H14" s="342"/>
      <c r="I14" s="342"/>
      <c r="J14" s="342"/>
      <c r="K14" s="342"/>
      <c r="L14" s="342"/>
      <c r="M14" s="342"/>
      <c r="N14" s="342"/>
      <c r="O14" s="343"/>
    </row>
    <row r="15" spans="3:15" x14ac:dyDescent="0.3">
      <c r="C15" s="341"/>
      <c r="D15" s="342"/>
      <c r="E15" s="342"/>
      <c r="F15" s="342"/>
      <c r="G15" s="342"/>
      <c r="H15" s="342"/>
      <c r="I15" s="342"/>
      <c r="J15" s="342"/>
      <c r="K15" s="342"/>
      <c r="L15" s="342"/>
      <c r="M15" s="342"/>
      <c r="N15" s="342"/>
      <c r="O15" s="343"/>
    </row>
    <row r="16" spans="3:15" x14ac:dyDescent="0.3">
      <c r="C16" s="341"/>
      <c r="D16" s="342"/>
      <c r="E16" s="342"/>
      <c r="F16" s="342"/>
      <c r="G16" s="342"/>
      <c r="H16" s="342"/>
      <c r="I16" s="342"/>
      <c r="J16" s="342"/>
      <c r="K16" s="342"/>
      <c r="L16" s="342"/>
      <c r="M16" s="342"/>
      <c r="N16" s="342"/>
      <c r="O16" s="343"/>
    </row>
    <row r="17" spans="2:15" x14ac:dyDescent="0.3">
      <c r="C17" s="341"/>
      <c r="D17" s="342"/>
      <c r="E17" s="342"/>
      <c r="F17" s="342"/>
      <c r="G17" s="342"/>
      <c r="H17" s="342"/>
      <c r="I17" s="342"/>
      <c r="J17" s="342"/>
      <c r="K17" s="342"/>
      <c r="L17" s="342"/>
      <c r="M17" s="342"/>
      <c r="N17" s="342"/>
      <c r="O17" s="343"/>
    </row>
    <row r="18" spans="2:15" x14ac:dyDescent="0.3">
      <c r="C18" s="341"/>
      <c r="D18" s="342"/>
      <c r="E18" s="342"/>
      <c r="F18" s="342"/>
      <c r="G18" s="342"/>
      <c r="H18" s="342"/>
      <c r="I18" s="342"/>
      <c r="J18" s="342"/>
      <c r="K18" s="342"/>
      <c r="L18" s="342"/>
      <c r="M18" s="342"/>
      <c r="N18" s="342"/>
      <c r="O18" s="343"/>
    </row>
    <row r="19" spans="2:15" x14ac:dyDescent="0.3">
      <c r="C19" s="341"/>
      <c r="D19" s="342"/>
      <c r="E19" s="342"/>
      <c r="F19" s="342"/>
      <c r="G19" s="342"/>
      <c r="H19" s="342"/>
      <c r="I19" s="342"/>
      <c r="J19" s="342"/>
      <c r="K19" s="342"/>
      <c r="L19" s="342"/>
      <c r="M19" s="342"/>
      <c r="N19" s="342"/>
      <c r="O19" s="343"/>
    </row>
    <row r="20" spans="2:15" x14ac:dyDescent="0.3">
      <c r="C20" s="341"/>
      <c r="D20" s="342"/>
      <c r="E20" s="342"/>
      <c r="F20" s="342"/>
      <c r="G20" s="342"/>
      <c r="H20" s="342"/>
      <c r="I20" s="342"/>
      <c r="J20" s="342"/>
      <c r="K20" s="342"/>
      <c r="L20" s="342"/>
      <c r="M20" s="342"/>
      <c r="N20" s="342"/>
      <c r="O20" s="343"/>
    </row>
    <row r="21" spans="2:15" x14ac:dyDescent="0.3">
      <c r="C21" s="341"/>
      <c r="D21" s="342"/>
      <c r="E21" s="342"/>
      <c r="F21" s="342"/>
      <c r="G21" s="342"/>
      <c r="H21" s="342"/>
      <c r="I21" s="342"/>
      <c r="J21" s="342"/>
      <c r="K21" s="342"/>
      <c r="L21" s="342"/>
      <c r="M21" s="342"/>
      <c r="N21" s="342"/>
      <c r="O21" s="343"/>
    </row>
    <row r="22" spans="2:15" ht="15" thickBot="1" x14ac:dyDescent="0.35">
      <c r="C22" s="344"/>
      <c r="D22" s="345"/>
      <c r="E22" s="345"/>
      <c r="F22" s="345"/>
      <c r="G22" s="345"/>
      <c r="H22" s="345"/>
      <c r="I22" s="345"/>
      <c r="J22" s="345"/>
      <c r="K22" s="345"/>
      <c r="L22" s="345"/>
      <c r="M22" s="345"/>
      <c r="N22" s="345"/>
      <c r="O22" s="346"/>
    </row>
    <row r="26" spans="2:15" ht="23.4" x14ac:dyDescent="0.45">
      <c r="B26" s="347" t="s">
        <v>339</v>
      </c>
      <c r="C26" s="347"/>
      <c r="D26" s="347"/>
      <c r="E26" s="347"/>
      <c r="F26" s="347"/>
    </row>
    <row r="28" spans="2:15" ht="18" x14ac:dyDescent="0.35">
      <c r="B28" s="53" t="s">
        <v>440</v>
      </c>
      <c r="C28" s="53">
        <f>TOTAL!Q10</f>
        <v>51</v>
      </c>
      <c r="D28" s="53" t="s">
        <v>442</v>
      </c>
      <c r="N28" s="53"/>
      <c r="O28" s="53" t="str">
        <f>IF(AND(C28=20,C28&lt;=33),"T Faible",IF(AND(C28&gt;=34,C28&lt;=44),"Faible",IF(AND(C28&gt;=45,C28&lt;=55),"Moyen",IF(AND(C28&gt;=56,C28&lt;=64),"Elevé",IF(AND(C28&gt;=65,C28&lt;=80),"T Elevé",)))))</f>
        <v>Moyen</v>
      </c>
    </row>
    <row r="29" spans="2:15" ht="18.600000000000001" thickBot="1" x14ac:dyDescent="0.4">
      <c r="B29" s="53"/>
      <c r="C29" s="53"/>
      <c r="D29" s="53"/>
      <c r="N29" s="53"/>
      <c r="O29" s="53"/>
    </row>
    <row r="30" spans="2:15" x14ac:dyDescent="0.3">
      <c r="C30" s="312" t="str">
        <f>IF(AND(C28&gt;=20,C28&lt;=33),"Cette personne est généralement stable émotionnellement, peu encline aux émotions négatives, calme, confiante et en contrôle d'elle-même",IF(AND(C28&gt;=34,C28&lt;=44),"Cette personne est généralement stable émotionnellement, peu encline aux émotions négatives, calme, confiante et en contrôle d'elle-même",IF(AND(C28&gt;=45,C28&lt;=55),"Cette personne se situe globalement dans le moyen quant à sa gestion de stress",IF(AND(C28&gt;=56,C28&lt;=64),"Cette personne est généralement tendance à expérimenter des affects négatifs comme la peur la colère tristesse le dégout sont moins capables de contrôle leurs pulsions et ont tendance à moins bien faire face au stress",IF(AND(C28&gt;=65,C28&lt;=80),"Cette personne est généralement tendance à expérimenter des affects négatifs comme la peur la colère tristesse le dégout sont moins capables de contrôle leurs pulsions, et ont tendance à moins bien faire face au stress",)))))</f>
        <v>Cette personne se situe globalement dans le moyen quant à sa gestion de stress</v>
      </c>
      <c r="D30" s="313"/>
      <c r="E30" s="313"/>
      <c r="F30" s="313"/>
      <c r="G30" s="313"/>
      <c r="H30" s="313"/>
      <c r="I30" s="313"/>
      <c r="J30" s="313"/>
      <c r="K30" s="313"/>
      <c r="L30" s="313"/>
      <c r="M30" s="313"/>
      <c r="N30" s="313"/>
      <c r="O30" s="314"/>
    </row>
    <row r="31" spans="2:15" x14ac:dyDescent="0.3">
      <c r="C31" s="315"/>
      <c r="D31" s="316"/>
      <c r="E31" s="316"/>
      <c r="F31" s="316"/>
      <c r="G31" s="316"/>
      <c r="H31" s="316"/>
      <c r="I31" s="316"/>
      <c r="J31" s="316"/>
      <c r="K31" s="316"/>
      <c r="L31" s="316"/>
      <c r="M31" s="316"/>
      <c r="N31" s="316"/>
      <c r="O31" s="317"/>
    </row>
    <row r="32" spans="2:15" x14ac:dyDescent="0.3">
      <c r="C32" s="315"/>
      <c r="D32" s="316"/>
      <c r="E32" s="316"/>
      <c r="F32" s="316"/>
      <c r="G32" s="316"/>
      <c r="H32" s="316"/>
      <c r="I32" s="316"/>
      <c r="J32" s="316"/>
      <c r="K32" s="316"/>
      <c r="L32" s="316"/>
      <c r="M32" s="316"/>
      <c r="N32" s="316"/>
      <c r="O32" s="317"/>
    </row>
    <row r="33" spans="2:15" ht="15" thickBot="1" x14ac:dyDescent="0.35">
      <c r="C33" s="318"/>
      <c r="D33" s="319"/>
      <c r="E33" s="319"/>
      <c r="F33" s="319"/>
      <c r="G33" s="319"/>
      <c r="H33" s="319"/>
      <c r="I33" s="319"/>
      <c r="J33" s="319"/>
      <c r="K33" s="319"/>
      <c r="L33" s="319"/>
      <c r="M33" s="319"/>
      <c r="N33" s="319"/>
      <c r="O33" s="320"/>
    </row>
    <row r="34" spans="2:15" ht="15" thickBot="1" x14ac:dyDescent="0.35"/>
    <row r="35" spans="2:15" x14ac:dyDescent="0.3">
      <c r="B35" s="348" t="s">
        <v>441</v>
      </c>
      <c r="C35" s="349"/>
      <c r="D35" s="349"/>
      <c r="E35" s="349"/>
      <c r="F35" s="349"/>
      <c r="G35" s="349"/>
      <c r="H35" s="349"/>
      <c r="I35" s="349"/>
      <c r="J35" s="349"/>
      <c r="K35" s="349"/>
      <c r="L35" s="349"/>
      <c r="M35" s="349"/>
      <c r="N35" s="349"/>
      <c r="O35" s="350"/>
    </row>
    <row r="36" spans="2:15" x14ac:dyDescent="0.3">
      <c r="B36" s="351"/>
      <c r="C36" s="352"/>
      <c r="D36" s="352"/>
      <c r="E36" s="352"/>
      <c r="F36" s="352"/>
      <c r="G36" s="352"/>
      <c r="H36" s="352"/>
      <c r="I36" s="352"/>
      <c r="J36" s="352"/>
      <c r="K36" s="352"/>
      <c r="L36" s="352"/>
      <c r="M36" s="352"/>
      <c r="N36" s="352"/>
      <c r="O36" s="353"/>
    </row>
    <row r="37" spans="2:15" x14ac:dyDescent="0.3">
      <c r="B37" s="351"/>
      <c r="C37" s="352"/>
      <c r="D37" s="352"/>
      <c r="E37" s="352"/>
      <c r="F37" s="352"/>
      <c r="G37" s="352"/>
      <c r="H37" s="352"/>
      <c r="I37" s="352"/>
      <c r="J37" s="352"/>
      <c r="K37" s="352"/>
      <c r="L37" s="352"/>
      <c r="M37" s="352"/>
      <c r="N37" s="352"/>
      <c r="O37" s="353"/>
    </row>
    <row r="38" spans="2:15" x14ac:dyDescent="0.3">
      <c r="B38" s="351"/>
      <c r="C38" s="352"/>
      <c r="D38" s="352"/>
      <c r="E38" s="352"/>
      <c r="F38" s="352"/>
      <c r="G38" s="352"/>
      <c r="H38" s="352"/>
      <c r="I38" s="352"/>
      <c r="J38" s="352"/>
      <c r="K38" s="352"/>
      <c r="L38" s="352"/>
      <c r="M38" s="352"/>
      <c r="N38" s="352"/>
      <c r="O38" s="353"/>
    </row>
    <row r="39" spans="2:15" x14ac:dyDescent="0.3">
      <c r="B39" s="351"/>
      <c r="C39" s="352"/>
      <c r="D39" s="352"/>
      <c r="E39" s="352"/>
      <c r="F39" s="352"/>
      <c r="G39" s="352"/>
      <c r="H39" s="352"/>
      <c r="I39" s="352"/>
      <c r="J39" s="352"/>
      <c r="K39" s="352"/>
      <c r="L39" s="352"/>
      <c r="M39" s="352"/>
      <c r="N39" s="352"/>
      <c r="O39" s="353"/>
    </row>
    <row r="40" spans="2:15" x14ac:dyDescent="0.3">
      <c r="B40" s="351"/>
      <c r="C40" s="352"/>
      <c r="D40" s="352"/>
      <c r="E40" s="352"/>
      <c r="F40" s="352"/>
      <c r="G40" s="352"/>
      <c r="H40" s="352"/>
      <c r="I40" s="352"/>
      <c r="J40" s="352"/>
      <c r="K40" s="352"/>
      <c r="L40" s="352"/>
      <c r="M40" s="352"/>
      <c r="N40" s="352"/>
      <c r="O40" s="353"/>
    </row>
    <row r="41" spans="2:15" x14ac:dyDescent="0.3">
      <c r="B41" s="351"/>
      <c r="C41" s="352"/>
      <c r="D41" s="352"/>
      <c r="E41" s="352"/>
      <c r="F41" s="352"/>
      <c r="G41" s="352"/>
      <c r="H41" s="352"/>
      <c r="I41" s="352"/>
      <c r="J41" s="352"/>
      <c r="K41" s="352"/>
      <c r="L41" s="352"/>
      <c r="M41" s="352"/>
      <c r="N41" s="352"/>
      <c r="O41" s="353"/>
    </row>
    <row r="42" spans="2:15" ht="15.6" customHeight="1" x14ac:dyDescent="0.3">
      <c r="B42" s="351"/>
      <c r="C42" s="352"/>
      <c r="D42" s="352"/>
      <c r="E42" s="352"/>
      <c r="F42" s="352"/>
      <c r="G42" s="352"/>
      <c r="H42" s="352"/>
      <c r="I42" s="352"/>
      <c r="J42" s="352"/>
      <c r="K42" s="352"/>
      <c r="L42" s="352"/>
      <c r="M42" s="352"/>
      <c r="N42" s="352"/>
      <c r="O42" s="353"/>
    </row>
    <row r="43" spans="2:15" ht="15" thickBot="1" x14ac:dyDescent="0.35">
      <c r="B43" s="354"/>
      <c r="C43" s="355"/>
      <c r="D43" s="355"/>
      <c r="E43" s="355"/>
      <c r="F43" s="355"/>
      <c r="G43" s="355"/>
      <c r="H43" s="355"/>
      <c r="I43" s="355"/>
      <c r="J43" s="355"/>
      <c r="K43" s="355"/>
      <c r="L43" s="355"/>
      <c r="M43" s="355"/>
      <c r="N43" s="355"/>
      <c r="O43" s="356"/>
    </row>
    <row r="46" spans="2:15" ht="18" x14ac:dyDescent="0.35">
      <c r="B46" s="358" t="s">
        <v>443</v>
      </c>
      <c r="C46" s="358"/>
      <c r="D46" s="53">
        <f>TOTAL!U10</f>
        <v>56</v>
      </c>
      <c r="E46" s="45" t="s">
        <v>442</v>
      </c>
      <c r="O46" s="53" t="str">
        <f>IF(AND(D46&gt;=20,D46&lt;=33),"T Faible",IF(AND(D46&gt;=34,D46&lt;=44),"Faible",IF(AND(D46&gt;=45,D46&lt;=55),"moyen",IF(AND(D46&gt;=56,D46&lt;=64),"Elevé",IF(AND(D46&gt;=65,D46&lt;=80),"T Elevé",)))))</f>
        <v>Elevé</v>
      </c>
    </row>
    <row r="47" spans="2:15" ht="15" thickBot="1" x14ac:dyDescent="0.35"/>
    <row r="48" spans="2:15" ht="14.4" customHeight="1" x14ac:dyDescent="0.3">
      <c r="C48" s="312" t="str">
        <f>IF(OR(AND(D46&gt;=20,D46&lt;=33),AND(D46&gt;=34,D46&lt;=44)),CONCATENATE("Cette personne est généralement introvertie sont ainsi réservés plutôt qu’inamicaux indépendants plutôt que grégaires"," constants plutôt que léthargiques. Les sujets introvertis peuvent se dire timides quand ils veulent dire qu’ils préfèrent être seuls ","ils ne souffrent pas nécessairement d’anxiété sociale Enfin bien que n’ayant pas l’exubérance des sujets extravertis les introvertis ne sont ni malheureux ni pessimistes"),IF(AND(D46&gt;=45,D46&lt;=55),CONCATENATE("Cette personne se situe globalement dans la moyenne quant à son extraversion sa sociabilité sa grégarité sa tendance à s’affirmer et à s’exprimer","l’énergie qu’elle déploie son besoin de stimulation et son optimisme"),IF(OR(AND(D46&gt;=56,D46&lt;=64),AND(D46&gt;=64,D46&lt;=80)),CONCATENATE("Cette personne est généralement extravertis sont sociables. Appréciant les gens et préférant les groupes importants et les réunions","ils sont également sûrs d’eux actifs et loquaces Ils aiment la stimulation et tendent à être joyeux Ils sont gais énergiques et optimistes"))))</f>
        <v>Cette personne est généralement extravertis sont sociables. Appréciant les gens et préférant les groupes importants et les réunionsils sont également sûrs d’eux actifs et loquaces Ils aiment la stimulation et tendent à être joyeux Ils sont gais énergiques et optimistes</v>
      </c>
      <c r="D48" s="313"/>
      <c r="E48" s="313"/>
      <c r="F48" s="313"/>
      <c r="G48" s="313"/>
      <c r="H48" s="313"/>
      <c r="I48" s="313"/>
      <c r="J48" s="313"/>
      <c r="K48" s="313"/>
      <c r="L48" s="313"/>
      <c r="M48" s="313"/>
      <c r="N48" s="313"/>
      <c r="O48" s="314"/>
    </row>
    <row r="49" spans="2:15" ht="14.4" customHeight="1" x14ac:dyDescent="0.3">
      <c r="C49" s="315"/>
      <c r="D49" s="316"/>
      <c r="E49" s="316"/>
      <c r="F49" s="316"/>
      <c r="G49" s="316"/>
      <c r="H49" s="316"/>
      <c r="I49" s="316"/>
      <c r="J49" s="316"/>
      <c r="K49" s="316"/>
      <c r="L49" s="316"/>
      <c r="M49" s="316"/>
      <c r="N49" s="316"/>
      <c r="O49" s="317"/>
    </row>
    <row r="50" spans="2:15" ht="14.4" customHeight="1" x14ac:dyDescent="0.3">
      <c r="C50" s="315"/>
      <c r="D50" s="316"/>
      <c r="E50" s="316"/>
      <c r="F50" s="316"/>
      <c r="G50" s="316"/>
      <c r="H50" s="316"/>
      <c r="I50" s="316"/>
      <c r="J50" s="316"/>
      <c r="K50" s="316"/>
      <c r="L50" s="316"/>
      <c r="M50" s="316"/>
      <c r="N50" s="316"/>
      <c r="O50" s="317"/>
    </row>
    <row r="51" spans="2:15" ht="15" customHeight="1" x14ac:dyDescent="0.3">
      <c r="C51" s="315"/>
      <c r="D51" s="316"/>
      <c r="E51" s="316"/>
      <c r="F51" s="316"/>
      <c r="G51" s="316"/>
      <c r="H51" s="316"/>
      <c r="I51" s="316"/>
      <c r="J51" s="316"/>
      <c r="K51" s="316"/>
      <c r="L51" s="316"/>
      <c r="M51" s="316"/>
      <c r="N51" s="316"/>
      <c r="O51" s="317"/>
    </row>
    <row r="52" spans="2:15" ht="15" thickBot="1" x14ac:dyDescent="0.35">
      <c r="C52" s="318"/>
      <c r="D52" s="319"/>
      <c r="E52" s="319"/>
      <c r="F52" s="319"/>
      <c r="G52" s="319"/>
      <c r="H52" s="319"/>
      <c r="I52" s="319"/>
      <c r="J52" s="319"/>
      <c r="K52" s="319"/>
      <c r="L52" s="319"/>
      <c r="M52" s="319"/>
      <c r="N52" s="319"/>
      <c r="O52" s="320"/>
    </row>
    <row r="53" spans="2:15" ht="15" thickBot="1" x14ac:dyDescent="0.35"/>
    <row r="54" spans="2:15" ht="14.4" customHeight="1" x14ac:dyDescent="0.3">
      <c r="B54" s="348" t="s">
        <v>444</v>
      </c>
      <c r="C54" s="376"/>
      <c r="D54" s="376"/>
      <c r="E54" s="376"/>
      <c r="F54" s="376"/>
      <c r="G54" s="376"/>
      <c r="H54" s="376"/>
      <c r="I54" s="376"/>
      <c r="J54" s="376"/>
      <c r="K54" s="376"/>
      <c r="L54" s="376"/>
      <c r="M54" s="376"/>
      <c r="N54" s="376"/>
      <c r="O54" s="377"/>
    </row>
    <row r="55" spans="2:15" ht="14.4" customHeight="1" x14ac:dyDescent="0.3">
      <c r="B55" s="378"/>
      <c r="C55" s="379"/>
      <c r="D55" s="379"/>
      <c r="E55" s="379"/>
      <c r="F55" s="379"/>
      <c r="G55" s="379"/>
      <c r="H55" s="379"/>
      <c r="I55" s="379"/>
      <c r="J55" s="379"/>
      <c r="K55" s="379"/>
      <c r="L55" s="379"/>
      <c r="M55" s="379"/>
      <c r="N55" s="379"/>
      <c r="O55" s="380"/>
    </row>
    <row r="56" spans="2:15" ht="14.4" customHeight="1" x14ac:dyDescent="0.3">
      <c r="B56" s="378"/>
      <c r="C56" s="379"/>
      <c r="D56" s="379"/>
      <c r="E56" s="379"/>
      <c r="F56" s="379"/>
      <c r="G56" s="379"/>
      <c r="H56" s="379"/>
      <c r="I56" s="379"/>
      <c r="J56" s="379"/>
      <c r="K56" s="379"/>
      <c r="L56" s="379"/>
      <c r="M56" s="379"/>
      <c r="N56" s="379"/>
      <c r="O56" s="380"/>
    </row>
    <row r="57" spans="2:15" ht="14.4" customHeight="1" x14ac:dyDescent="0.3">
      <c r="B57" s="378"/>
      <c r="C57" s="379"/>
      <c r="D57" s="379"/>
      <c r="E57" s="379"/>
      <c r="F57" s="379"/>
      <c r="G57" s="379"/>
      <c r="H57" s="379"/>
      <c r="I57" s="379"/>
      <c r="J57" s="379"/>
      <c r="K57" s="379"/>
      <c r="L57" s="379"/>
      <c r="M57" s="379"/>
      <c r="N57" s="379"/>
      <c r="O57" s="380"/>
    </row>
    <row r="58" spans="2:15" ht="14.4" customHeight="1" x14ac:dyDescent="0.3">
      <c r="B58" s="378"/>
      <c r="C58" s="379"/>
      <c r="D58" s="379"/>
      <c r="E58" s="379"/>
      <c r="F58" s="379"/>
      <c r="G58" s="379"/>
      <c r="H58" s="379"/>
      <c r="I58" s="379"/>
      <c r="J58" s="379"/>
      <c r="K58" s="379"/>
      <c r="L58" s="379"/>
      <c r="M58" s="379"/>
      <c r="N58" s="379"/>
      <c r="O58" s="380"/>
    </row>
    <row r="59" spans="2:15" ht="15" customHeight="1" x14ac:dyDescent="0.3">
      <c r="B59" s="378"/>
      <c r="C59" s="379"/>
      <c r="D59" s="379"/>
      <c r="E59" s="379"/>
      <c r="F59" s="379"/>
      <c r="G59" s="379"/>
      <c r="H59" s="379"/>
      <c r="I59" s="379"/>
      <c r="J59" s="379"/>
      <c r="K59" s="379"/>
      <c r="L59" s="379"/>
      <c r="M59" s="379"/>
      <c r="N59" s="379"/>
      <c r="O59" s="380"/>
    </row>
    <row r="60" spans="2:15" ht="15" thickBot="1" x14ac:dyDescent="0.35">
      <c r="B60" s="381"/>
      <c r="C60" s="382"/>
      <c r="D60" s="382"/>
      <c r="E60" s="382"/>
      <c r="F60" s="382"/>
      <c r="G60" s="382"/>
      <c r="H60" s="382"/>
      <c r="I60" s="382"/>
      <c r="J60" s="382"/>
      <c r="K60" s="382"/>
      <c r="L60" s="382"/>
      <c r="M60" s="382"/>
      <c r="N60" s="382"/>
      <c r="O60" s="383"/>
    </row>
    <row r="62" spans="2:15" ht="18" x14ac:dyDescent="0.35">
      <c r="B62" s="300" t="s">
        <v>445</v>
      </c>
      <c r="C62" s="300"/>
      <c r="D62" s="53">
        <f>TOTAL!Q19</f>
        <v>52</v>
      </c>
      <c r="E62" s="53" t="s">
        <v>442</v>
      </c>
      <c r="O62" s="53" t="str">
        <f>IF(AND(D62&gt;=20,D62&lt;=33),"T Faible",IF(AND(D62&gt;=34,D62&lt;=44),"Faible",IF(AND(D62&gt;=45,D62&lt;=55),"Moyen",IF(AND(D62&gt;=56,D62&lt;=64),"Elevé",IF(AND(D62&gt;=65,D62&lt;=80),"T Elevé",)))))</f>
        <v>Moyen</v>
      </c>
    </row>
    <row r="63" spans="2:15" ht="15" thickBot="1" x14ac:dyDescent="0.35"/>
    <row r="64" spans="2:15" x14ac:dyDescent="0.3">
      <c r="C64" s="312" t="str">
        <f>IF(OR(AND(D62&gt;=20,D62&lt;=33),AND(D62&gt;=34,D62&lt;=44)),CONCATENATE("Cette personne est généralement tendance à être conservateurs et conventionnels dans leurs idées et dans leur comportement","Ils préfèrent les situations qui leur sont familières à la nouveauté et leurs réactions émotives sont émoussées","Il semblerait plutôt que les personnes renfermées aient simplement des champs d’intérêts moins étendus et moins intenses"),IF(AND(D62&gt;=45,D62&lt;=55),CONCATENATE("Cette personne se situe globalement dans la moyenne quant à ses niveaux de curiosité intellectuelle d’imagination d’introspection de créativité ","de sens artistique et d’ouverture à la nouveauté et à la diversité"),IF(OR(AND(D62&gt;=56,D62&lt;=64),AND(D62&gt;=65,D62&lt;=80)),CONCATENATE("Cette personne se situé globalement dans le score élevé à la dimension de l’ouverture ont une imagination active la sensibilité esthétique l’attention prêtée à ses propres sentiments","la préférence pour la variété la curiosité intellectuelle et l’indépendance de jugement Les sujets ouverts sont curieux de tout ce qui se produit dans leur univers interne ","et externe et leur vie est plus riche en expériences Ils sont disposés à concevoir des idées nouvelles et à adopter des valeurs non conventionnelles","Ils vivent plus intensément les émotions positives et négatives que les sujets renfermés"))))</f>
        <v>Cette personne se situe globalement dans la moyenne quant à ses niveaux de curiosité intellectuelle d’imagination d’introspection de créativité de sens artistique et d’ouverture à la nouveauté et à la diversité</v>
      </c>
      <c r="D64" s="313"/>
      <c r="E64" s="313"/>
      <c r="F64" s="313"/>
      <c r="G64" s="313"/>
      <c r="H64" s="313"/>
      <c r="I64" s="313"/>
      <c r="J64" s="313"/>
      <c r="K64" s="313"/>
      <c r="L64" s="313"/>
      <c r="M64" s="313"/>
      <c r="N64" s="313"/>
      <c r="O64" s="314"/>
    </row>
    <row r="65" spans="2:15" x14ac:dyDescent="0.3">
      <c r="C65" s="315"/>
      <c r="D65" s="316"/>
      <c r="E65" s="316"/>
      <c r="F65" s="316"/>
      <c r="G65" s="316"/>
      <c r="H65" s="316"/>
      <c r="I65" s="316"/>
      <c r="J65" s="316"/>
      <c r="K65" s="316"/>
      <c r="L65" s="316"/>
      <c r="M65" s="316"/>
      <c r="N65" s="316"/>
      <c r="O65" s="317"/>
    </row>
    <row r="66" spans="2:15" x14ac:dyDescent="0.3">
      <c r="C66" s="315"/>
      <c r="D66" s="316"/>
      <c r="E66" s="316"/>
      <c r="F66" s="316"/>
      <c r="G66" s="316"/>
      <c r="H66" s="316"/>
      <c r="I66" s="316"/>
      <c r="J66" s="316"/>
      <c r="K66" s="316"/>
      <c r="L66" s="316"/>
      <c r="M66" s="316"/>
      <c r="N66" s="316"/>
      <c r="O66" s="317"/>
    </row>
    <row r="67" spans="2:15" x14ac:dyDescent="0.3">
      <c r="C67" s="315"/>
      <c r="D67" s="316"/>
      <c r="E67" s="316"/>
      <c r="F67" s="316"/>
      <c r="G67" s="316"/>
      <c r="H67" s="316"/>
      <c r="I67" s="316"/>
      <c r="J67" s="316"/>
      <c r="K67" s="316"/>
      <c r="L67" s="316"/>
      <c r="M67" s="316"/>
      <c r="N67" s="316"/>
      <c r="O67" s="317"/>
    </row>
    <row r="68" spans="2:15" x14ac:dyDescent="0.3">
      <c r="C68" s="315"/>
      <c r="D68" s="316"/>
      <c r="E68" s="316"/>
      <c r="F68" s="316"/>
      <c r="G68" s="316"/>
      <c r="H68" s="316"/>
      <c r="I68" s="316"/>
      <c r="J68" s="316"/>
      <c r="K68" s="316"/>
      <c r="L68" s="316"/>
      <c r="M68" s="316"/>
      <c r="N68" s="316"/>
      <c r="O68" s="317"/>
    </row>
    <row r="69" spans="2:15" x14ac:dyDescent="0.3">
      <c r="C69" s="315"/>
      <c r="D69" s="316"/>
      <c r="E69" s="316"/>
      <c r="F69" s="316"/>
      <c r="G69" s="316"/>
      <c r="H69" s="316"/>
      <c r="I69" s="316"/>
      <c r="J69" s="316"/>
      <c r="K69" s="316"/>
      <c r="L69" s="316"/>
      <c r="M69" s="316"/>
      <c r="N69" s="316"/>
      <c r="O69" s="317"/>
    </row>
    <row r="70" spans="2:15" ht="15" thickBot="1" x14ac:dyDescent="0.35">
      <c r="C70" s="318"/>
      <c r="D70" s="319"/>
      <c r="E70" s="319"/>
      <c r="F70" s="319"/>
      <c r="G70" s="319"/>
      <c r="H70" s="319"/>
      <c r="I70" s="319"/>
      <c r="J70" s="319"/>
      <c r="K70" s="319"/>
      <c r="L70" s="319"/>
      <c r="M70" s="319"/>
      <c r="N70" s="319"/>
      <c r="O70" s="320"/>
    </row>
    <row r="71" spans="2:15" ht="15" thickBot="1" x14ac:dyDescent="0.35"/>
    <row r="72" spans="2:15" ht="14.4" customHeight="1" x14ac:dyDescent="0.3">
      <c r="B72" s="367" t="s">
        <v>446</v>
      </c>
      <c r="C72" s="368"/>
      <c r="D72" s="368"/>
      <c r="E72" s="368"/>
      <c r="F72" s="368"/>
      <c r="G72" s="368"/>
      <c r="H72" s="368"/>
      <c r="I72" s="368"/>
      <c r="J72" s="368"/>
      <c r="K72" s="368"/>
      <c r="L72" s="368"/>
      <c r="M72" s="368"/>
      <c r="N72" s="368"/>
      <c r="O72" s="369"/>
    </row>
    <row r="73" spans="2:15" ht="14.4" customHeight="1" x14ac:dyDescent="0.3">
      <c r="B73" s="370"/>
      <c r="C73" s="371"/>
      <c r="D73" s="371"/>
      <c r="E73" s="371"/>
      <c r="F73" s="371"/>
      <c r="G73" s="371"/>
      <c r="H73" s="371"/>
      <c r="I73" s="371"/>
      <c r="J73" s="371"/>
      <c r="K73" s="371"/>
      <c r="L73" s="371"/>
      <c r="M73" s="371"/>
      <c r="N73" s="371"/>
      <c r="O73" s="372"/>
    </row>
    <row r="74" spans="2:15" ht="14.4" customHeight="1" x14ac:dyDescent="0.3">
      <c r="B74" s="370"/>
      <c r="C74" s="371"/>
      <c r="D74" s="371"/>
      <c r="E74" s="371"/>
      <c r="F74" s="371"/>
      <c r="G74" s="371"/>
      <c r="H74" s="371"/>
      <c r="I74" s="371"/>
      <c r="J74" s="371"/>
      <c r="K74" s="371"/>
      <c r="L74" s="371"/>
      <c r="M74" s="371"/>
      <c r="N74" s="371"/>
      <c r="O74" s="372"/>
    </row>
    <row r="75" spans="2:15" ht="14.4" customHeight="1" x14ac:dyDescent="0.3">
      <c r="B75" s="370"/>
      <c r="C75" s="371"/>
      <c r="D75" s="371"/>
      <c r="E75" s="371"/>
      <c r="F75" s="371"/>
      <c r="G75" s="371"/>
      <c r="H75" s="371"/>
      <c r="I75" s="371"/>
      <c r="J75" s="371"/>
      <c r="K75" s="371"/>
      <c r="L75" s="371"/>
      <c r="M75" s="371"/>
      <c r="N75" s="371"/>
      <c r="O75" s="372"/>
    </row>
    <row r="76" spans="2:15" ht="14.4" customHeight="1" x14ac:dyDescent="0.3">
      <c r="B76" s="370"/>
      <c r="C76" s="371"/>
      <c r="D76" s="371"/>
      <c r="E76" s="371"/>
      <c r="F76" s="371"/>
      <c r="G76" s="371"/>
      <c r="H76" s="371"/>
      <c r="I76" s="371"/>
      <c r="J76" s="371"/>
      <c r="K76" s="371"/>
      <c r="L76" s="371"/>
      <c r="M76" s="371"/>
      <c r="N76" s="371"/>
      <c r="O76" s="372"/>
    </row>
    <row r="77" spans="2:15" ht="14.4" customHeight="1" x14ac:dyDescent="0.3">
      <c r="B77" s="370"/>
      <c r="C77" s="371"/>
      <c r="D77" s="371"/>
      <c r="E77" s="371"/>
      <c r="F77" s="371"/>
      <c r="G77" s="371"/>
      <c r="H77" s="371"/>
      <c r="I77" s="371"/>
      <c r="J77" s="371"/>
      <c r="K77" s="371"/>
      <c r="L77" s="371"/>
      <c r="M77" s="371"/>
      <c r="N77" s="371"/>
      <c r="O77" s="372"/>
    </row>
    <row r="78" spans="2:15" ht="14.4" customHeight="1" x14ac:dyDescent="0.3">
      <c r="B78" s="370"/>
      <c r="C78" s="371"/>
      <c r="D78" s="371"/>
      <c r="E78" s="371"/>
      <c r="F78" s="371"/>
      <c r="G78" s="371"/>
      <c r="H78" s="371"/>
      <c r="I78" s="371"/>
      <c r="J78" s="371"/>
      <c r="K78" s="371"/>
      <c r="L78" s="371"/>
      <c r="M78" s="371"/>
      <c r="N78" s="371"/>
      <c r="O78" s="372"/>
    </row>
    <row r="79" spans="2:15" ht="15" customHeight="1" x14ac:dyDescent="0.3">
      <c r="B79" s="370"/>
      <c r="C79" s="371"/>
      <c r="D79" s="371"/>
      <c r="E79" s="371"/>
      <c r="F79" s="371"/>
      <c r="G79" s="371"/>
      <c r="H79" s="371"/>
      <c r="I79" s="371"/>
      <c r="J79" s="371"/>
      <c r="K79" s="371"/>
      <c r="L79" s="371"/>
      <c r="M79" s="371"/>
      <c r="N79" s="371"/>
      <c r="O79" s="372"/>
    </row>
    <row r="80" spans="2:15" ht="14.4" customHeight="1" x14ac:dyDescent="0.3">
      <c r="B80" s="370"/>
      <c r="C80" s="371"/>
      <c r="D80" s="371"/>
      <c r="E80" s="371"/>
      <c r="F80" s="371"/>
      <c r="G80" s="371"/>
      <c r="H80" s="371"/>
      <c r="I80" s="371"/>
      <c r="J80" s="371"/>
      <c r="K80" s="371"/>
      <c r="L80" s="371"/>
      <c r="M80" s="371"/>
      <c r="N80" s="371"/>
      <c r="O80" s="372"/>
    </row>
    <row r="81" spans="2:18" ht="15.6" customHeight="1" thickBot="1" x14ac:dyDescent="0.35">
      <c r="B81" s="373"/>
      <c r="C81" s="374"/>
      <c r="D81" s="374"/>
      <c r="E81" s="374"/>
      <c r="F81" s="374"/>
      <c r="G81" s="374"/>
      <c r="H81" s="374"/>
      <c r="I81" s="374"/>
      <c r="J81" s="374"/>
      <c r="K81" s="374"/>
      <c r="L81" s="374"/>
      <c r="M81" s="374"/>
      <c r="N81" s="374"/>
      <c r="O81" s="375"/>
    </row>
    <row r="83" spans="2:18" ht="18" x14ac:dyDescent="0.35">
      <c r="B83" s="358" t="s">
        <v>447</v>
      </c>
      <c r="C83" s="358"/>
      <c r="D83" s="53">
        <f>TOTAL!U20</f>
        <v>53</v>
      </c>
      <c r="E83" s="53" t="s">
        <v>442</v>
      </c>
      <c r="O83" s="53" t="str">
        <f>IF(AND(D83&gt;=20,D83&lt;=33),"T Faible",IF(AND(D83&gt;=34,D83&lt;=44),"Faible",IF(AND(D83&gt;=45,D83&lt;=55),"Moyen",IF(AND(D83&gt;=56,D83&lt;=64),"Elevé",IF(AND(D83&gt;=65,D83&lt;=80),"T Elevé",)))))</f>
        <v>Moyen</v>
      </c>
    </row>
    <row r="84" spans="2:18" ht="15" thickBot="1" x14ac:dyDescent="0.35"/>
    <row r="85" spans="2:18" x14ac:dyDescent="0.3">
      <c r="C85" s="312" t="str">
        <f>IF(AND(D83&gt;=20,D83&lt;=33),"Cette personne est typiquement désagréables ou antagonistes Ils sont égocentriques et associés aux personnalités narcissiques antisociales et paranoïaques",IF(AND(D83&gt;=34,D83&lt;=44),"Cette personne est typiquement désagréables ou antagonistes Ils sont égocentriques et associés aux personnalités narcissiques antisociales et paranoïaques",IF(AND(D83&gt;=45,D83&lt;=55),"Cette personne se situe globalement dans la moyenne concernent cette relation interpersonnelle c’est une personne franche et sincère sa prise de décisions rationnelles fondées sur une logique bien précise",IF(AND(D83&gt;=56,D83&lt;=64),"Cette personne à tendance à être fondamentalement altruiste il elle as tendance à avoir de la sympathie pour les autres et désire de les aider et croient que les autres personnes seront également aidant en retour",IF(AND(D83&gt;=65,D83&lt;=80),"Cette personne à tendance à être fondamentalement altruiste il elle as tendance à avoir de la sympathie pour les autres et désire de les aider et croient que les autres personnes seront également aidant en retour",)))))</f>
        <v>Cette personne se situe globalement dans la moyenne concernent cette relation interpersonnelle c’est une personne franche et sincère sa prise de décisions rationnelles fondées sur une logique bien précise</v>
      </c>
      <c r="D85" s="313"/>
      <c r="E85" s="313"/>
      <c r="F85" s="313"/>
      <c r="G85" s="313"/>
      <c r="H85" s="313"/>
      <c r="I85" s="313"/>
      <c r="J85" s="313"/>
      <c r="K85" s="313"/>
      <c r="L85" s="313"/>
      <c r="M85" s="313"/>
      <c r="N85" s="313"/>
      <c r="O85" s="314"/>
    </row>
    <row r="86" spans="2:18" x14ac:dyDescent="0.3">
      <c r="C86" s="315"/>
      <c r="D86" s="316"/>
      <c r="E86" s="316"/>
      <c r="F86" s="316"/>
      <c r="G86" s="316"/>
      <c r="H86" s="316"/>
      <c r="I86" s="316"/>
      <c r="J86" s="316"/>
      <c r="K86" s="316"/>
      <c r="L86" s="316"/>
      <c r="M86" s="316"/>
      <c r="N86" s="316"/>
      <c r="O86" s="317"/>
    </row>
    <row r="87" spans="2:18" x14ac:dyDescent="0.3">
      <c r="C87" s="315"/>
      <c r="D87" s="316"/>
      <c r="E87" s="316"/>
      <c r="F87" s="316"/>
      <c r="G87" s="316"/>
      <c r="H87" s="316"/>
      <c r="I87" s="316"/>
      <c r="J87" s="316"/>
      <c r="K87" s="316"/>
      <c r="L87" s="316"/>
      <c r="M87" s="316"/>
      <c r="N87" s="316"/>
      <c r="O87" s="317"/>
    </row>
    <row r="88" spans="2:18" x14ac:dyDescent="0.3">
      <c r="C88" s="315"/>
      <c r="D88" s="316"/>
      <c r="E88" s="316"/>
      <c r="F88" s="316"/>
      <c r="G88" s="316"/>
      <c r="H88" s="316"/>
      <c r="I88" s="316"/>
      <c r="J88" s="316"/>
      <c r="K88" s="316"/>
      <c r="L88" s="316"/>
      <c r="M88" s="316"/>
      <c r="N88" s="316"/>
      <c r="O88" s="317"/>
    </row>
    <row r="89" spans="2:18" x14ac:dyDescent="0.3">
      <c r="C89" s="315"/>
      <c r="D89" s="316"/>
      <c r="E89" s="316"/>
      <c r="F89" s="316"/>
      <c r="G89" s="316"/>
      <c r="H89" s="316"/>
      <c r="I89" s="316"/>
      <c r="J89" s="316"/>
      <c r="K89" s="316"/>
      <c r="L89" s="316"/>
      <c r="M89" s="316"/>
      <c r="N89" s="316"/>
      <c r="O89" s="317"/>
    </row>
    <row r="90" spans="2:18" x14ac:dyDescent="0.3">
      <c r="C90" s="315"/>
      <c r="D90" s="316"/>
      <c r="E90" s="316"/>
      <c r="F90" s="316"/>
      <c r="G90" s="316"/>
      <c r="H90" s="316"/>
      <c r="I90" s="316"/>
      <c r="J90" s="316"/>
      <c r="K90" s="316"/>
      <c r="L90" s="316"/>
      <c r="M90" s="316"/>
      <c r="N90" s="316"/>
      <c r="O90" s="317"/>
    </row>
    <row r="91" spans="2:18" ht="15" thickBot="1" x14ac:dyDescent="0.35">
      <c r="C91" s="318"/>
      <c r="D91" s="319"/>
      <c r="E91" s="319"/>
      <c r="F91" s="319"/>
      <c r="G91" s="319"/>
      <c r="H91" s="319"/>
      <c r="I91" s="319"/>
      <c r="J91" s="319"/>
      <c r="K91" s="319"/>
      <c r="L91" s="319"/>
      <c r="M91" s="319"/>
      <c r="N91" s="319"/>
      <c r="O91" s="320"/>
    </row>
    <row r="92" spans="2:18" x14ac:dyDescent="0.3">
      <c r="R92" s="33"/>
    </row>
    <row r="93" spans="2:18" ht="15" thickBot="1" x14ac:dyDescent="0.35"/>
    <row r="94" spans="2:18" x14ac:dyDescent="0.3">
      <c r="B94" s="348" t="s">
        <v>448</v>
      </c>
      <c r="C94" s="349"/>
      <c r="D94" s="349"/>
      <c r="E94" s="349"/>
      <c r="F94" s="349"/>
      <c r="G94" s="349"/>
      <c r="H94" s="349"/>
      <c r="I94" s="349"/>
      <c r="J94" s="349"/>
      <c r="K94" s="349"/>
      <c r="L94" s="349"/>
      <c r="M94" s="349"/>
      <c r="N94" s="349"/>
      <c r="O94" s="350"/>
    </row>
    <row r="95" spans="2:18" x14ac:dyDescent="0.3">
      <c r="B95" s="351"/>
      <c r="C95" s="352"/>
      <c r="D95" s="352"/>
      <c r="E95" s="352"/>
      <c r="F95" s="352"/>
      <c r="G95" s="352"/>
      <c r="H95" s="352"/>
      <c r="I95" s="352"/>
      <c r="J95" s="352"/>
      <c r="K95" s="352"/>
      <c r="L95" s="352"/>
      <c r="M95" s="352"/>
      <c r="N95" s="352"/>
      <c r="O95" s="353"/>
    </row>
    <row r="96" spans="2:18" x14ac:dyDescent="0.3">
      <c r="B96" s="351"/>
      <c r="C96" s="352"/>
      <c r="D96" s="352"/>
      <c r="E96" s="352"/>
      <c r="F96" s="352"/>
      <c r="G96" s="352"/>
      <c r="H96" s="352"/>
      <c r="I96" s="352"/>
      <c r="J96" s="352"/>
      <c r="K96" s="352"/>
      <c r="L96" s="352"/>
      <c r="M96" s="352"/>
      <c r="N96" s="352"/>
      <c r="O96" s="353"/>
    </row>
    <row r="97" spans="2:15" x14ac:dyDescent="0.3">
      <c r="B97" s="351"/>
      <c r="C97" s="352"/>
      <c r="D97" s="352"/>
      <c r="E97" s="352"/>
      <c r="F97" s="352"/>
      <c r="G97" s="352"/>
      <c r="H97" s="352"/>
      <c r="I97" s="352"/>
      <c r="J97" s="352"/>
      <c r="K97" s="352"/>
      <c r="L97" s="352"/>
      <c r="M97" s="352"/>
      <c r="N97" s="352"/>
      <c r="O97" s="353"/>
    </row>
    <row r="98" spans="2:15" x14ac:dyDescent="0.3">
      <c r="B98" s="351"/>
      <c r="C98" s="352"/>
      <c r="D98" s="352"/>
      <c r="E98" s="352"/>
      <c r="F98" s="352"/>
      <c r="G98" s="352"/>
      <c r="H98" s="352"/>
      <c r="I98" s="352"/>
      <c r="J98" s="352"/>
      <c r="K98" s="352"/>
      <c r="L98" s="352"/>
      <c r="M98" s="352"/>
      <c r="N98" s="352"/>
      <c r="O98" s="353"/>
    </row>
    <row r="99" spans="2:15" x14ac:dyDescent="0.3">
      <c r="B99" s="351"/>
      <c r="C99" s="352"/>
      <c r="D99" s="352"/>
      <c r="E99" s="352"/>
      <c r="F99" s="352"/>
      <c r="G99" s="352"/>
      <c r="H99" s="352"/>
      <c r="I99" s="352"/>
      <c r="J99" s="352"/>
      <c r="K99" s="352"/>
      <c r="L99" s="352"/>
      <c r="M99" s="352"/>
      <c r="N99" s="352"/>
      <c r="O99" s="353"/>
    </row>
    <row r="100" spans="2:15" x14ac:dyDescent="0.3">
      <c r="B100" s="351"/>
      <c r="C100" s="352"/>
      <c r="D100" s="352"/>
      <c r="E100" s="352"/>
      <c r="F100" s="352"/>
      <c r="G100" s="352"/>
      <c r="H100" s="352"/>
      <c r="I100" s="352"/>
      <c r="J100" s="352"/>
      <c r="K100" s="352"/>
      <c r="L100" s="352"/>
      <c r="M100" s="352"/>
      <c r="N100" s="352"/>
      <c r="O100" s="353"/>
    </row>
    <row r="101" spans="2:15" x14ac:dyDescent="0.3">
      <c r="B101" s="351"/>
      <c r="C101" s="352"/>
      <c r="D101" s="352"/>
      <c r="E101" s="352"/>
      <c r="F101" s="352"/>
      <c r="G101" s="352"/>
      <c r="H101" s="352"/>
      <c r="I101" s="352"/>
      <c r="J101" s="352"/>
      <c r="K101" s="352"/>
      <c r="L101" s="352"/>
      <c r="M101" s="352"/>
      <c r="N101" s="352"/>
      <c r="O101" s="353"/>
    </row>
    <row r="102" spans="2:15" ht="15" thickBot="1" x14ac:dyDescent="0.35">
      <c r="B102" s="354"/>
      <c r="C102" s="355"/>
      <c r="D102" s="355"/>
      <c r="E102" s="355"/>
      <c r="F102" s="355"/>
      <c r="G102" s="355"/>
      <c r="H102" s="355"/>
      <c r="I102" s="355"/>
      <c r="J102" s="355"/>
      <c r="K102" s="355"/>
      <c r="L102" s="355"/>
      <c r="M102" s="355"/>
      <c r="N102" s="355"/>
      <c r="O102" s="356"/>
    </row>
    <row r="105" spans="2:15" ht="18" x14ac:dyDescent="0.35">
      <c r="B105" s="358" t="s">
        <v>449</v>
      </c>
      <c r="C105" s="358"/>
      <c r="D105" s="53">
        <f>TOTAL!Q28</f>
        <v>55</v>
      </c>
      <c r="E105" s="53" t="s">
        <v>442</v>
      </c>
      <c r="O105" s="53" t="str">
        <f>IF(AND(D105&gt;=20,D105&lt;=33),"T Faible",IF(AND(D105&gt;=34,D105&lt;=44),"Faible",IF(AND(D105&gt;=45,D105&lt;=55),"Moyen",IF(AND(D105&gt;=56,D105&lt;=64),"Elevé",IF(AND(D105&gt;=65,D105&lt;=80),"T Elevé",)))))</f>
        <v>Moyen</v>
      </c>
    </row>
    <row r="106" spans="2:15" ht="15" thickBot="1" x14ac:dyDescent="0.35"/>
    <row r="107" spans="2:15" x14ac:dyDescent="0.3">
      <c r="C107" s="312" t="str">
        <f>IF(AND(D105&gt;=20,D105&lt;=33),"cette personne est généralement moins exigeante dans l'application de principes moraux et plus laxiste dans la poursuite de leurs objectifs",IF(AND(D105&gt;=34,D105&lt;=44),"cette personne est généralement moins exigeante dans l'application de principes moraux et plus laxiste dans la poursuite de leurs objectifs",IF(AND(D105&gt;=45,D105&lt;=55),"cette personne est moyennement impliquée dans la planification l’organisation et l'exécution des tâches",IF(AND(D105&gt;=56,D105&lt;=64),"Cette personne est généralement impliquée dans la planification l'organisation et l'exécution des tâches Cette conscience élevée est associée à la réussite scolaire et professionnelle",IF(AND(D105&gt;=65,D105&lt;=80),"Cette personne est généralement impliquée dans la planification l'organisation et l'exécution des tâches Cette conscience élevée est associée à la réussite scolaire et professionnelle",)))))</f>
        <v>cette personne est moyennement impliquée dans la planification l’organisation et l'exécution des tâches</v>
      </c>
      <c r="D107" s="359"/>
      <c r="E107" s="359"/>
      <c r="F107" s="359"/>
      <c r="G107" s="359"/>
      <c r="H107" s="359"/>
      <c r="I107" s="359"/>
      <c r="J107" s="359"/>
      <c r="K107" s="359"/>
      <c r="L107" s="359"/>
      <c r="M107" s="359"/>
      <c r="N107" s="359"/>
      <c r="O107" s="360"/>
    </row>
    <row r="108" spans="2:15" x14ac:dyDescent="0.3">
      <c r="C108" s="361"/>
      <c r="D108" s="362"/>
      <c r="E108" s="362"/>
      <c r="F108" s="362"/>
      <c r="G108" s="362"/>
      <c r="H108" s="362"/>
      <c r="I108" s="362"/>
      <c r="J108" s="362"/>
      <c r="K108" s="362"/>
      <c r="L108" s="362"/>
      <c r="M108" s="362"/>
      <c r="N108" s="362"/>
      <c r="O108" s="363"/>
    </row>
    <row r="109" spans="2:15" x14ac:dyDescent="0.3">
      <c r="C109" s="361"/>
      <c r="D109" s="362"/>
      <c r="E109" s="362"/>
      <c r="F109" s="362"/>
      <c r="G109" s="362"/>
      <c r="H109" s="362"/>
      <c r="I109" s="362"/>
      <c r="J109" s="362"/>
      <c r="K109" s="362"/>
      <c r="L109" s="362"/>
      <c r="M109" s="362"/>
      <c r="N109" s="362"/>
      <c r="O109" s="363"/>
    </row>
    <row r="110" spans="2:15" x14ac:dyDescent="0.3">
      <c r="C110" s="361"/>
      <c r="D110" s="362"/>
      <c r="E110" s="362"/>
      <c r="F110" s="362"/>
      <c r="G110" s="362"/>
      <c r="H110" s="362"/>
      <c r="I110" s="362"/>
      <c r="J110" s="362"/>
      <c r="K110" s="362"/>
      <c r="L110" s="362"/>
      <c r="M110" s="362"/>
      <c r="N110" s="362"/>
      <c r="O110" s="363"/>
    </row>
    <row r="111" spans="2:15" x14ac:dyDescent="0.3">
      <c r="C111" s="361"/>
      <c r="D111" s="362"/>
      <c r="E111" s="362"/>
      <c r="F111" s="362"/>
      <c r="G111" s="362"/>
      <c r="H111" s="362"/>
      <c r="I111" s="362"/>
      <c r="J111" s="362"/>
      <c r="K111" s="362"/>
      <c r="L111" s="362"/>
      <c r="M111" s="362"/>
      <c r="N111" s="362"/>
      <c r="O111" s="363"/>
    </row>
    <row r="112" spans="2:15" x14ac:dyDescent="0.3">
      <c r="C112" s="361"/>
      <c r="D112" s="362"/>
      <c r="E112" s="362"/>
      <c r="F112" s="362"/>
      <c r="G112" s="362"/>
      <c r="H112" s="362"/>
      <c r="I112" s="362"/>
      <c r="J112" s="362"/>
      <c r="K112" s="362"/>
      <c r="L112" s="362"/>
      <c r="M112" s="362"/>
      <c r="N112" s="362"/>
      <c r="O112" s="363"/>
    </row>
    <row r="113" spans="1:15" x14ac:dyDescent="0.3">
      <c r="A113" s="55"/>
      <c r="C113" s="361"/>
      <c r="D113" s="362"/>
      <c r="E113" s="362"/>
      <c r="F113" s="362"/>
      <c r="G113" s="362"/>
      <c r="H113" s="362"/>
      <c r="I113" s="362"/>
      <c r="J113" s="362"/>
      <c r="K113" s="362"/>
      <c r="L113" s="362"/>
      <c r="M113" s="362"/>
      <c r="N113" s="362"/>
      <c r="O113" s="363"/>
    </row>
    <row r="114" spans="1:15" ht="15" thickBot="1" x14ac:dyDescent="0.35">
      <c r="C114" s="364"/>
      <c r="D114" s="365"/>
      <c r="E114" s="365"/>
      <c r="F114" s="365"/>
      <c r="G114" s="365"/>
      <c r="H114" s="365"/>
      <c r="I114" s="365"/>
      <c r="J114" s="365"/>
      <c r="K114" s="365"/>
      <c r="L114" s="365"/>
      <c r="M114" s="365"/>
      <c r="N114" s="365"/>
      <c r="O114" s="366"/>
    </row>
    <row r="115" spans="1:15" ht="18" x14ac:dyDescent="0.35">
      <c r="C115" s="54"/>
    </row>
    <row r="116" spans="1:15" ht="15" thickBot="1" x14ac:dyDescent="0.35"/>
    <row r="117" spans="1:15" x14ac:dyDescent="0.3">
      <c r="B117" s="312" t="s">
        <v>450</v>
      </c>
      <c r="C117" s="313"/>
      <c r="D117" s="313"/>
      <c r="E117" s="313"/>
      <c r="F117" s="313"/>
      <c r="G117" s="313"/>
      <c r="H117" s="313"/>
      <c r="I117" s="313"/>
      <c r="J117" s="313"/>
      <c r="K117" s="313"/>
      <c r="L117" s="313"/>
      <c r="M117" s="313"/>
      <c r="N117" s="313"/>
      <c r="O117" s="314"/>
    </row>
    <row r="118" spans="1:15" x14ac:dyDescent="0.3">
      <c r="B118" s="315"/>
      <c r="C118" s="316"/>
      <c r="D118" s="316"/>
      <c r="E118" s="316"/>
      <c r="F118" s="316"/>
      <c r="G118" s="316"/>
      <c r="H118" s="316"/>
      <c r="I118" s="316"/>
      <c r="J118" s="316"/>
      <c r="K118" s="316"/>
      <c r="L118" s="316"/>
      <c r="M118" s="316"/>
      <c r="N118" s="316"/>
      <c r="O118" s="317"/>
    </row>
    <row r="119" spans="1:15" x14ac:dyDescent="0.3">
      <c r="B119" s="315"/>
      <c r="C119" s="316"/>
      <c r="D119" s="316"/>
      <c r="E119" s="316"/>
      <c r="F119" s="316"/>
      <c r="G119" s="316"/>
      <c r="H119" s="316"/>
      <c r="I119" s="316"/>
      <c r="J119" s="316"/>
      <c r="K119" s="316"/>
      <c r="L119" s="316"/>
      <c r="M119" s="316"/>
      <c r="N119" s="316"/>
      <c r="O119" s="317"/>
    </row>
    <row r="120" spans="1:15" x14ac:dyDescent="0.3">
      <c r="B120" s="315"/>
      <c r="C120" s="316"/>
      <c r="D120" s="316"/>
      <c r="E120" s="316"/>
      <c r="F120" s="316"/>
      <c r="G120" s="316"/>
      <c r="H120" s="316"/>
      <c r="I120" s="316"/>
      <c r="J120" s="316"/>
      <c r="K120" s="316"/>
      <c r="L120" s="316"/>
      <c r="M120" s="316"/>
      <c r="N120" s="316"/>
      <c r="O120" s="317"/>
    </row>
    <row r="121" spans="1:15" x14ac:dyDescent="0.3">
      <c r="B121" s="315"/>
      <c r="C121" s="316"/>
      <c r="D121" s="316"/>
      <c r="E121" s="316"/>
      <c r="F121" s="316"/>
      <c r="G121" s="316"/>
      <c r="H121" s="316"/>
      <c r="I121" s="316"/>
      <c r="J121" s="316"/>
      <c r="K121" s="316"/>
      <c r="L121" s="316"/>
      <c r="M121" s="316"/>
      <c r="N121" s="316"/>
      <c r="O121" s="317"/>
    </row>
    <row r="122" spans="1:15" x14ac:dyDescent="0.3">
      <c r="B122" s="315"/>
      <c r="C122" s="316"/>
      <c r="D122" s="316"/>
      <c r="E122" s="316"/>
      <c r="F122" s="316"/>
      <c r="G122" s="316"/>
      <c r="H122" s="316"/>
      <c r="I122" s="316"/>
      <c r="J122" s="316"/>
      <c r="K122" s="316"/>
      <c r="L122" s="316"/>
      <c r="M122" s="316"/>
      <c r="N122" s="316"/>
      <c r="O122" s="317"/>
    </row>
    <row r="123" spans="1:15" ht="15" thickBot="1" x14ac:dyDescent="0.35">
      <c r="B123" s="318"/>
      <c r="C123" s="319"/>
      <c r="D123" s="319"/>
      <c r="E123" s="319"/>
      <c r="F123" s="319"/>
      <c r="G123" s="319"/>
      <c r="H123" s="319"/>
      <c r="I123" s="319"/>
      <c r="J123" s="319"/>
      <c r="K123" s="319"/>
      <c r="L123" s="319"/>
      <c r="M123" s="319"/>
      <c r="N123" s="319"/>
      <c r="O123" s="320"/>
    </row>
    <row r="127" spans="1:15" ht="15" thickBot="1" x14ac:dyDescent="0.35"/>
    <row r="128" spans="1:15" ht="18.600000000000001" thickBot="1" x14ac:dyDescent="0.4">
      <c r="G128" s="258" t="s">
        <v>377</v>
      </c>
      <c r="H128" s="259"/>
      <c r="I128" s="259"/>
      <c r="J128" s="259"/>
      <c r="K128" s="260"/>
    </row>
    <row r="132" spans="3:16" x14ac:dyDescent="0.3">
      <c r="C132" t="s">
        <v>378</v>
      </c>
      <c r="G132" s="249" t="s">
        <v>379</v>
      </c>
      <c r="H132" s="249"/>
      <c r="I132" s="357" t="s">
        <v>380</v>
      </c>
      <c r="J132" s="357"/>
      <c r="K132" s="251" t="s">
        <v>345</v>
      </c>
      <c r="L132" s="251"/>
      <c r="M132" s="252" t="s">
        <v>381</v>
      </c>
      <c r="N132" s="252"/>
      <c r="O132" s="243" t="s">
        <v>382</v>
      </c>
      <c r="P132" s="243"/>
    </row>
    <row r="133" spans="3:16" s="56" customFormat="1" ht="6" customHeight="1" thickBot="1" x14ac:dyDescent="0.35">
      <c r="F133" s="311"/>
      <c r="G133" s="311"/>
      <c r="H133" s="311"/>
      <c r="I133" s="311"/>
      <c r="J133" s="311"/>
      <c r="K133" s="311"/>
      <c r="L133" s="311"/>
      <c r="M133" s="311"/>
      <c r="N133" s="311"/>
      <c r="O133" s="311"/>
      <c r="P133" s="311"/>
    </row>
    <row r="134" spans="3:16" ht="15" thickBot="1" x14ac:dyDescent="0.35">
      <c r="C134" s="253" t="s">
        <v>383</v>
      </c>
      <c r="D134" s="254"/>
      <c r="E134" s="255"/>
      <c r="F134" s="33">
        <f>TOTAL!P37</f>
        <v>55</v>
      </c>
      <c r="G134" s="336">
        <f>F134</f>
        <v>55</v>
      </c>
      <c r="H134" s="336"/>
      <c r="I134" s="310">
        <f>F134</f>
        <v>55</v>
      </c>
      <c r="J134" s="310"/>
      <c r="K134" s="310">
        <f>F134</f>
        <v>55</v>
      </c>
      <c r="L134" s="310"/>
      <c r="M134" s="310">
        <f>F134</f>
        <v>55</v>
      </c>
      <c r="N134" s="310"/>
      <c r="O134" s="310">
        <f>F134</f>
        <v>55</v>
      </c>
      <c r="P134" s="310"/>
    </row>
    <row r="135" spans="3:16" ht="6" customHeight="1" thickBot="1" x14ac:dyDescent="0.35">
      <c r="F135" s="310"/>
      <c r="G135" s="310"/>
      <c r="H135" s="310"/>
      <c r="I135" s="310"/>
      <c r="J135" s="310"/>
      <c r="K135" s="310"/>
      <c r="L135" s="310"/>
      <c r="M135" s="310"/>
      <c r="N135" s="310"/>
      <c r="O135" s="310"/>
      <c r="P135" s="310"/>
    </row>
    <row r="136" spans="3:16" ht="15" thickBot="1" x14ac:dyDescent="0.35">
      <c r="C136" s="253" t="s">
        <v>384</v>
      </c>
      <c r="D136" s="254"/>
      <c r="E136" s="255"/>
      <c r="F136" s="61">
        <f>TOTAL!T37</f>
        <v>41.333333333333336</v>
      </c>
      <c r="G136" s="337">
        <f>F136</f>
        <v>41.333333333333336</v>
      </c>
      <c r="H136" s="337"/>
      <c r="I136" s="336">
        <f>F136</f>
        <v>41.333333333333336</v>
      </c>
      <c r="J136" s="336"/>
      <c r="K136" s="310">
        <f>F136</f>
        <v>41.333333333333336</v>
      </c>
      <c r="L136" s="310"/>
      <c r="M136" s="310">
        <f>F136</f>
        <v>41.333333333333336</v>
      </c>
      <c r="N136" s="310"/>
      <c r="O136" s="310">
        <f>F136</f>
        <v>41.333333333333336</v>
      </c>
      <c r="P136" s="310"/>
    </row>
    <row r="137" spans="3:16" ht="4.95" customHeight="1" thickBot="1" x14ac:dyDescent="0.35">
      <c r="F137" s="311"/>
      <c r="G137" s="311"/>
      <c r="H137" s="311"/>
      <c r="I137" s="311"/>
      <c r="J137" s="311"/>
      <c r="K137" s="311"/>
      <c r="L137" s="311"/>
      <c r="M137" s="311"/>
      <c r="N137" s="311"/>
      <c r="O137" s="311"/>
      <c r="P137" s="311"/>
    </row>
    <row r="138" spans="3:16" ht="15" thickBot="1" x14ac:dyDescent="0.35">
      <c r="C138" s="253" t="s">
        <v>385</v>
      </c>
      <c r="D138" s="254"/>
      <c r="E138" s="255"/>
      <c r="F138" s="59">
        <f>TOTAL!P45</f>
        <v>41.333333333333336</v>
      </c>
      <c r="G138" s="324">
        <f>F138</f>
        <v>41.333333333333336</v>
      </c>
      <c r="H138" s="324"/>
      <c r="I138" s="310">
        <f>F138</f>
        <v>41.333333333333336</v>
      </c>
      <c r="J138" s="310"/>
      <c r="K138" s="310">
        <f>F138</f>
        <v>41.333333333333336</v>
      </c>
      <c r="L138" s="310"/>
      <c r="M138" s="310">
        <f>F138</f>
        <v>41.333333333333336</v>
      </c>
      <c r="N138" s="310"/>
      <c r="O138" s="310">
        <f>F138</f>
        <v>41.333333333333336</v>
      </c>
      <c r="P138" s="310"/>
    </row>
    <row r="139" spans="3:16" ht="4.95" customHeight="1" thickBot="1" x14ac:dyDescent="0.35">
      <c r="F139" s="311"/>
      <c r="G139" s="311"/>
      <c r="H139" s="311"/>
      <c r="I139" s="311"/>
      <c r="J139" s="311"/>
      <c r="K139" s="311"/>
      <c r="L139" s="311"/>
      <c r="M139" s="311"/>
      <c r="N139" s="311"/>
      <c r="O139" s="311"/>
      <c r="P139" s="311"/>
    </row>
    <row r="140" spans="3:16" ht="15" thickBot="1" x14ac:dyDescent="0.35">
      <c r="C140" s="253" t="s">
        <v>386</v>
      </c>
      <c r="D140" s="254"/>
      <c r="E140" s="255"/>
      <c r="F140">
        <f>TOTAL!T45</f>
        <v>51</v>
      </c>
      <c r="G140" s="322">
        <f>F140</f>
        <v>51</v>
      </c>
      <c r="H140" s="322"/>
      <c r="I140" s="322">
        <f>F140</f>
        <v>51</v>
      </c>
      <c r="J140" s="322"/>
      <c r="K140" s="310">
        <f>F140</f>
        <v>51</v>
      </c>
      <c r="L140" s="310"/>
      <c r="M140" s="310">
        <f>F140</f>
        <v>51</v>
      </c>
      <c r="N140" s="310"/>
      <c r="O140" s="310">
        <f>F140</f>
        <v>51</v>
      </c>
      <c r="P140" s="310"/>
    </row>
    <row r="141" spans="3:16" ht="4.95" customHeight="1" thickBot="1" x14ac:dyDescent="0.35">
      <c r="F141" s="311"/>
      <c r="G141" s="311"/>
      <c r="H141" s="311"/>
      <c r="I141" s="311"/>
      <c r="J141" s="311"/>
      <c r="K141" s="311"/>
      <c r="L141" s="311"/>
      <c r="M141" s="311"/>
      <c r="N141" s="311"/>
      <c r="O141" s="311"/>
      <c r="P141" s="311"/>
    </row>
    <row r="142" spans="3:16" ht="15" thickBot="1" x14ac:dyDescent="0.35">
      <c r="C142" s="253" t="s">
        <v>387</v>
      </c>
      <c r="D142" s="254"/>
      <c r="E142" s="255"/>
      <c r="F142">
        <f>TOTAL!P50</f>
        <v>57.333333333333336</v>
      </c>
      <c r="G142" s="322">
        <f>F142</f>
        <v>57.333333333333336</v>
      </c>
      <c r="H142" s="322"/>
      <c r="I142" s="322">
        <f>F142</f>
        <v>57.333333333333336</v>
      </c>
      <c r="J142" s="322"/>
      <c r="K142" s="310">
        <f>F142</f>
        <v>57.333333333333336</v>
      </c>
      <c r="L142" s="310"/>
      <c r="M142" s="310">
        <f>F142</f>
        <v>57.333333333333336</v>
      </c>
      <c r="N142" s="310"/>
      <c r="O142" s="310">
        <f>F142</f>
        <v>57.333333333333336</v>
      </c>
      <c r="P142" s="310"/>
    </row>
    <row r="143" spans="3:16" ht="4.95" customHeight="1" thickBot="1" x14ac:dyDescent="0.35">
      <c r="F143" s="60"/>
      <c r="G143" s="311"/>
      <c r="H143" s="311"/>
      <c r="I143" s="311"/>
      <c r="J143" s="311"/>
      <c r="K143" s="311"/>
      <c r="L143" s="311"/>
      <c r="M143" s="311"/>
      <c r="N143" s="311"/>
      <c r="O143" s="311"/>
      <c r="P143" s="311"/>
    </row>
    <row r="144" spans="3:16" ht="15" thickBot="1" x14ac:dyDescent="0.35">
      <c r="C144" s="253" t="s">
        <v>388</v>
      </c>
      <c r="D144" s="254"/>
      <c r="E144" s="255"/>
      <c r="F144">
        <f>TOTAL!T52</f>
        <v>49</v>
      </c>
      <c r="G144" s="325">
        <f>F144</f>
        <v>49</v>
      </c>
      <c r="H144" s="325"/>
      <c r="I144" s="325">
        <f>F144</f>
        <v>49</v>
      </c>
      <c r="J144" s="325"/>
      <c r="K144" s="325">
        <f>F144</f>
        <v>49</v>
      </c>
      <c r="L144" s="325"/>
      <c r="M144" s="326">
        <f>F144</f>
        <v>49</v>
      </c>
      <c r="N144" s="326"/>
      <c r="O144" s="310">
        <f>F144</f>
        <v>49</v>
      </c>
      <c r="P144" s="310"/>
    </row>
    <row r="145" spans="3:16" ht="4.95" customHeight="1" thickBot="1" x14ac:dyDescent="0.35">
      <c r="F145" s="311"/>
      <c r="G145" s="311"/>
      <c r="H145" s="311"/>
      <c r="I145" s="311"/>
      <c r="J145" s="311"/>
      <c r="K145" s="311"/>
      <c r="L145" s="311"/>
      <c r="M145" s="311"/>
      <c r="N145" s="311"/>
      <c r="O145" s="311"/>
      <c r="P145" s="311"/>
    </row>
    <row r="146" spans="3:16" ht="15" thickBot="1" x14ac:dyDescent="0.35">
      <c r="C146" s="253" t="s">
        <v>389</v>
      </c>
      <c r="D146" s="254"/>
      <c r="E146" s="255"/>
      <c r="F146">
        <f>TOTAL!P56</f>
        <v>51</v>
      </c>
      <c r="G146" s="324">
        <f>F146</f>
        <v>51</v>
      </c>
      <c r="H146" s="324"/>
      <c r="I146" s="324">
        <f>F146</f>
        <v>51</v>
      </c>
      <c r="J146" s="324"/>
      <c r="K146" s="310">
        <f>F146</f>
        <v>51</v>
      </c>
      <c r="L146" s="310"/>
      <c r="M146" s="310">
        <f>F146</f>
        <v>51</v>
      </c>
      <c r="N146" s="310"/>
      <c r="O146" s="310">
        <f>F146</f>
        <v>51</v>
      </c>
      <c r="P146" s="310"/>
    </row>
    <row r="147" spans="3:16" ht="4.95" customHeight="1" thickBot="1" x14ac:dyDescent="0.35">
      <c r="F147" s="311"/>
      <c r="G147" s="311"/>
      <c r="H147" s="311"/>
      <c r="I147" s="311"/>
      <c r="J147" s="311"/>
      <c r="K147" s="311"/>
      <c r="L147" s="311"/>
      <c r="M147" s="311"/>
      <c r="N147" s="311"/>
      <c r="O147" s="311"/>
      <c r="P147" s="311"/>
    </row>
    <row r="148" spans="3:16" ht="15" thickBot="1" x14ac:dyDescent="0.35">
      <c r="C148" s="253" t="s">
        <v>390</v>
      </c>
      <c r="D148" s="254"/>
      <c r="E148" s="255"/>
      <c r="F148" s="59">
        <f>TOTAL!T58</f>
        <v>60</v>
      </c>
      <c r="G148" s="321">
        <f>F148</f>
        <v>60</v>
      </c>
      <c r="H148" s="322"/>
      <c r="I148" s="321">
        <f>F148</f>
        <v>60</v>
      </c>
      <c r="J148" s="322"/>
      <c r="K148" s="321">
        <f>F148</f>
        <v>60</v>
      </c>
      <c r="L148" s="322"/>
      <c r="M148" s="323">
        <f>F148</f>
        <v>60</v>
      </c>
      <c r="N148" s="310"/>
      <c r="O148" s="310"/>
      <c r="P148" s="310"/>
    </row>
    <row r="149" spans="3:16" x14ac:dyDescent="0.3">
      <c r="C149" s="52"/>
      <c r="D149" s="52"/>
      <c r="E149" s="52"/>
      <c r="G149" s="58"/>
      <c r="H149" s="58"/>
      <c r="I149" s="58"/>
      <c r="J149" s="58"/>
      <c r="K149" s="58"/>
      <c r="L149" s="58"/>
      <c r="M149" s="58"/>
      <c r="N149" s="58"/>
      <c r="O149" s="58"/>
      <c r="P149" s="58"/>
    </row>
    <row r="150" spans="3:16" x14ac:dyDescent="0.3">
      <c r="C150" s="52"/>
      <c r="D150" s="52"/>
      <c r="E150" s="52"/>
      <c r="G150" s="58"/>
      <c r="H150" s="58"/>
      <c r="I150" s="58"/>
      <c r="J150" s="58"/>
      <c r="K150" s="58"/>
      <c r="L150" s="58"/>
      <c r="M150" s="58"/>
      <c r="N150" s="58"/>
      <c r="O150" s="58"/>
      <c r="P150" s="58"/>
    </row>
    <row r="151" spans="3:16" x14ac:dyDescent="0.3">
      <c r="G151" s="58"/>
      <c r="H151" s="58"/>
      <c r="I151" s="58"/>
      <c r="J151" s="58"/>
      <c r="K151" s="58"/>
      <c r="L151" s="58"/>
      <c r="M151" s="58"/>
      <c r="N151" s="58"/>
      <c r="O151" s="58"/>
      <c r="P151" s="58"/>
    </row>
    <row r="152" spans="3:16" ht="18.600000000000001" thickBot="1" x14ac:dyDescent="0.4">
      <c r="D152" s="300" t="s">
        <v>391</v>
      </c>
      <c r="E152" s="300"/>
    </row>
    <row r="153" spans="3:16" x14ac:dyDescent="0.3">
      <c r="E153" s="327" t="str">
        <f>IF(AND(F134&gt;=20,F134&lt;=33)," Cette personne à une faible capacité à exercer du leadership à prendre contrôle d'une situation ou d'un projet à initier des actions à donner des directives et à assumer des responsabilités",IF(AND(F134&gt;33,F134&lt;=44),": Cette personne à une faible capacité à exercer du leadership à prendre contrôle d'une situation ou d'un projet à initier des actions à donner des directives et à assumer des responsabilités",IF(AND(F134&gt;44,F134&lt;=55),"Cette personne à une capacité moyenne à exercer du leadership à prendre contrôle d'une situation ou d'un projet à initier des actions à donner des directives et à assumer des responsabilités",IF(AND(F134&gt;55,F134&lt;=64),"Cette personne a probablement une bonne capacité à exercer du leadership, à prendre contrôle d’une situation ou d’un projet à initier des actions à donner des directives et à assumer des responsabilités",IF(AND(F134&gt;64,F134&lt;=80),"Cette personne a probablement une bonne capacité à exercer du leadership, à prendre contrôle d’une situation ou d’un projet à initier des actions à donner des directives et à assumer des responsabilités",)))))</f>
        <v>Cette personne à une capacité moyenne à exercer du leadership à prendre contrôle d'une situation ou d'un projet à initier des actions à donner des directives et à assumer des responsabilités</v>
      </c>
      <c r="F153" s="328"/>
      <c r="G153" s="328"/>
      <c r="H153" s="328"/>
      <c r="I153" s="328"/>
      <c r="J153" s="328"/>
      <c r="K153" s="328"/>
      <c r="L153" s="328"/>
      <c r="M153" s="328"/>
      <c r="N153" s="328"/>
      <c r="O153" s="328"/>
      <c r="P153" s="329"/>
    </row>
    <row r="154" spans="3:16" x14ac:dyDescent="0.3">
      <c r="E154" s="330"/>
      <c r="F154" s="331"/>
      <c r="G154" s="331"/>
      <c r="H154" s="331"/>
      <c r="I154" s="331"/>
      <c r="J154" s="331"/>
      <c r="K154" s="331"/>
      <c r="L154" s="331"/>
      <c r="M154" s="331"/>
      <c r="N154" s="331"/>
      <c r="O154" s="331"/>
      <c r="P154" s="332"/>
    </row>
    <row r="155" spans="3:16" ht="15" thickBot="1" x14ac:dyDescent="0.35">
      <c r="E155" s="333"/>
      <c r="F155" s="334"/>
      <c r="G155" s="334"/>
      <c r="H155" s="334"/>
      <c r="I155" s="334"/>
      <c r="J155" s="334"/>
      <c r="K155" s="334"/>
      <c r="L155" s="334"/>
      <c r="M155" s="334"/>
      <c r="N155" s="334"/>
      <c r="O155" s="334"/>
      <c r="P155" s="335"/>
    </row>
    <row r="157" spans="3:16" ht="18.600000000000001" thickBot="1" x14ac:dyDescent="0.4">
      <c r="D157" s="300" t="s">
        <v>398</v>
      </c>
      <c r="E157" s="300"/>
      <c r="F157" s="300"/>
    </row>
    <row r="158" spans="3:16" ht="14.4" customHeight="1" x14ac:dyDescent="0.3">
      <c r="E158" s="312" t="str">
        <f>IF(OR(AND(F136&gt;=20,F136&lt;=33),AND(F136&gt;33,F136&lt;=44)),CONCATENATE("Cette personne a tendance à préconiser une approche des relations de travail axée davantage sur la compétition que sur la coopération Bien qu’elle ne soit pas fermée à l’entraide ","et à la collaboration elle a plutôt tendance à penser que chacun doit d’abord s’aider soi-même Pour elle le respect doit être mérité et elle pourra contester lorsqu’elle est en désaccord"),IF(AND(F136&gt;44,F136&lt;=55),CONCATENATE("Cette personne interagit avec ses collègues ses patrons et les clients de manière positive et avec respect dans la mesure où ces attitudes sont réciproques Elle est prête ","à offrir du soutien à ses collègues Elle pourra se montrer moins collaborative démocratique et sympathique lorsque la dynamique d'équipe de travail n'est pas axée sue ces valeurs"),IF(OR(AND(F136&gt;55,F136&lt;=64),AND(F136&gt;64,F136&lt;=80)),"Cette personne démontre de solides compétences en matière de soutien et de coopération Elle est souvent prête à aider les autres et à travailler en équipe pour atteindre les objectifs communs",)))</f>
        <v>Cette personne a tendance à préconiser une approche des relations de travail axée davantage sur la compétition que sur la coopération Bien qu’elle ne soit pas fermée à l’entraide et à la collaboration elle a plutôt tendance à penser que chacun doit d’abord s’aider soi-même Pour elle le respect doit être mérité et elle pourra contester lorsqu’elle est en désaccord</v>
      </c>
      <c r="F158" s="313"/>
      <c r="G158" s="313"/>
      <c r="H158" s="313"/>
      <c r="I158" s="313"/>
      <c r="J158" s="313"/>
      <c r="K158" s="313"/>
      <c r="L158" s="313"/>
      <c r="M158" s="313"/>
      <c r="N158" s="313"/>
      <c r="O158" s="313"/>
      <c r="P158" s="314"/>
    </row>
    <row r="159" spans="3:16" ht="14.4" customHeight="1" x14ac:dyDescent="0.3">
      <c r="E159" s="315"/>
      <c r="F159" s="316"/>
      <c r="G159" s="316"/>
      <c r="H159" s="316"/>
      <c r="I159" s="316"/>
      <c r="J159" s="316"/>
      <c r="K159" s="316"/>
      <c r="L159" s="316"/>
      <c r="M159" s="316"/>
      <c r="N159" s="316"/>
      <c r="O159" s="316"/>
      <c r="P159" s="317"/>
    </row>
    <row r="160" spans="3:16" ht="14.4" customHeight="1" x14ac:dyDescent="0.3">
      <c r="E160" s="315"/>
      <c r="F160" s="316"/>
      <c r="G160" s="316"/>
      <c r="H160" s="316"/>
      <c r="I160" s="316"/>
      <c r="J160" s="316"/>
      <c r="K160" s="316"/>
      <c r="L160" s="316"/>
      <c r="M160" s="316"/>
      <c r="N160" s="316"/>
      <c r="O160" s="316"/>
      <c r="P160" s="317"/>
    </row>
    <row r="161" spans="4:16" ht="14.4" customHeight="1" x14ac:dyDescent="0.3">
      <c r="E161" s="315"/>
      <c r="F161" s="316"/>
      <c r="G161" s="316"/>
      <c r="H161" s="316"/>
      <c r="I161" s="316"/>
      <c r="J161" s="316"/>
      <c r="K161" s="316"/>
      <c r="L161" s="316"/>
      <c r="M161" s="316"/>
      <c r="N161" s="316"/>
      <c r="O161" s="316"/>
      <c r="P161" s="317"/>
    </row>
    <row r="162" spans="4:16" ht="15" customHeight="1" x14ac:dyDescent="0.3">
      <c r="E162" s="315"/>
      <c r="F162" s="316"/>
      <c r="G162" s="316"/>
      <c r="H162" s="316"/>
      <c r="I162" s="316"/>
      <c r="J162" s="316"/>
      <c r="K162" s="316"/>
      <c r="L162" s="316"/>
      <c r="M162" s="316"/>
      <c r="N162" s="316"/>
      <c r="O162" s="316"/>
      <c r="P162" s="317"/>
    </row>
    <row r="163" spans="4:16" ht="15" thickBot="1" x14ac:dyDescent="0.35">
      <c r="E163" s="318"/>
      <c r="F163" s="319"/>
      <c r="G163" s="319"/>
      <c r="H163" s="319"/>
      <c r="I163" s="319"/>
      <c r="J163" s="319"/>
      <c r="K163" s="319"/>
      <c r="L163" s="319"/>
      <c r="M163" s="319"/>
      <c r="N163" s="319"/>
      <c r="O163" s="319"/>
      <c r="P163" s="320"/>
    </row>
    <row r="164" spans="4:16" ht="18.600000000000001" thickBot="1" x14ac:dyDescent="0.4">
      <c r="D164" s="54" t="s">
        <v>405</v>
      </c>
      <c r="E164" s="54"/>
    </row>
    <row r="165" spans="4:16" x14ac:dyDescent="0.3">
      <c r="E165" s="312" t="str">
        <f>IF(OR(AND(F138&gt;=20,F138&lt;=33),AND(F138&gt;33,F138&lt;=44)),CONCATENATE("Cette personne à une faible capacité entre en relation avec autrui à développer un réseau de contacts ainsi qu'à influencer et à persuader manque de confiance en soi ","leur de rencontrer de nouvelle personne elle trouve des difficultés à s'intégrer dans le groupe de s'exprimer et de faire valoir son point de vue"),IF(AND(F138&gt;44,F138&lt;=55),CONCATENATE("Cette personne ne se démarque pas de la moyenne quant à sa capacité à entrer en relation avec autrui à développer un réseau de contacts ainsi qu’à influencer et à persuader Son niveau ","niveau de confiance en elle se situe globalement dans la moyenne lorsqu’il s’agit de rencontrer de nouvelles personnes d’interagir dans un groupe de s’exprimer et de faire valoir son point de vue"),IF(OR(AND(F138&gt;55,F138&lt;=64),AND(F138&gt;64,F138&lt;=80)),CONCATENATE("Cette personne à une grand capacité entrer en relation avec autrui à développer un réseau de contacts ainsi qu’à influencer et à persuader Son niveau de confiance en elle ","est élevé lorsqu’il s’agit de rencontrer de nouvelles personnes d’interagir dans un groupe de s’exprimer et de faire valoir son point de vue"))))</f>
        <v>Cette personne à une faible capacité entre en relation avec autrui à développer un réseau de contacts ainsi qu'à influencer et à persuader manque de confiance en soi leur de rencontrer de nouvelle personne elle trouve des difficultés à s'intégrer dans le groupe de s'exprimer et de faire valoir son point de vue</v>
      </c>
      <c r="F165" s="313"/>
      <c r="G165" s="313"/>
      <c r="H165" s="313"/>
      <c r="I165" s="313"/>
      <c r="J165" s="313"/>
      <c r="K165" s="313"/>
      <c r="L165" s="313"/>
      <c r="M165" s="313"/>
      <c r="N165" s="313"/>
      <c r="O165" s="313"/>
      <c r="P165" s="314"/>
    </row>
    <row r="166" spans="4:16" x14ac:dyDescent="0.3">
      <c r="E166" s="315"/>
      <c r="F166" s="316"/>
      <c r="G166" s="316"/>
      <c r="H166" s="316"/>
      <c r="I166" s="316"/>
      <c r="J166" s="316"/>
      <c r="K166" s="316"/>
      <c r="L166" s="316"/>
      <c r="M166" s="316"/>
      <c r="N166" s="316"/>
      <c r="O166" s="316"/>
      <c r="P166" s="317"/>
    </row>
    <row r="167" spans="4:16" x14ac:dyDescent="0.3">
      <c r="E167" s="315"/>
      <c r="F167" s="316"/>
      <c r="G167" s="316"/>
      <c r="H167" s="316"/>
      <c r="I167" s="316"/>
      <c r="J167" s="316"/>
      <c r="K167" s="316"/>
      <c r="L167" s="316"/>
      <c r="M167" s="316"/>
      <c r="N167" s="316"/>
      <c r="O167" s="316"/>
      <c r="P167" s="317"/>
    </row>
    <row r="168" spans="4:16" x14ac:dyDescent="0.3">
      <c r="E168" s="315"/>
      <c r="F168" s="316"/>
      <c r="G168" s="316"/>
      <c r="H168" s="316"/>
      <c r="I168" s="316"/>
      <c r="J168" s="316"/>
      <c r="K168" s="316"/>
      <c r="L168" s="316"/>
      <c r="M168" s="316"/>
      <c r="N168" s="316"/>
      <c r="O168" s="316"/>
      <c r="P168" s="317"/>
    </row>
    <row r="169" spans="4:16" ht="40.200000000000003" customHeight="1" thickBot="1" x14ac:dyDescent="0.35">
      <c r="E169" s="318"/>
      <c r="F169" s="319"/>
      <c r="G169" s="319"/>
      <c r="H169" s="319"/>
      <c r="I169" s="319"/>
      <c r="J169" s="319"/>
      <c r="K169" s="319"/>
      <c r="L169" s="319"/>
      <c r="M169" s="319"/>
      <c r="N169" s="319"/>
      <c r="O169" s="319"/>
      <c r="P169" s="320"/>
    </row>
    <row r="171" spans="4:16" ht="18.600000000000001" thickBot="1" x14ac:dyDescent="0.4">
      <c r="D171" s="54" t="s">
        <v>411</v>
      </c>
      <c r="E171" s="54"/>
    </row>
    <row r="172" spans="4:16" x14ac:dyDescent="0.3">
      <c r="E172" s="312" t="str">
        <f>IF(OR(AND(F140&gt;=20,F140&lt;=33),AND(F140&gt;33,F140&lt;=44)),CONCATENATE("Cette personne préfère les tâches et les problèmes simples plutôt que les tâches et problème complexes requérant un travail d'analyse important Elle pourra avoir de la difficulté à s'adapter ","à la nouveauté tel que les évolutions technologiques elle préfère le plus souvent s'en tenir aux choses connues et qui ont fait leur preuve"),IF(AND(F140&gt;44,F140&lt;=55),CONCATENATE("Cette personne se situe dans la moyenne des gens quant à sa tendance à déployer une pensée analytique et à son aisance à travailler avec des problèmes et des idées complexes "," Son ouverture face à la nouveauté tel que les évolutions technologiques et sa capacité à s’y adapter se situent dans la moyenne"),IF(OR(AND(F140&gt;55,F140&lt;=64),AND(F140&gt;64,F140&lt;=80)),CONCATENATE("Cette personne préfère les tâches et les problème complexes requérant un travail d'analyse important plutôt que les tâches simples ","Elle s'adapte facilement à la nouveauté tel que les évolutions technologiques"))))</f>
        <v>Cette personne se situe dans la moyenne des gens quant à sa tendance à déployer une pensée analytique et à son aisance à travailler avec des problèmes et des idées complexes  Son ouverture face à la nouveauté tel que les évolutions technologiques et sa capacité à s’y adapter se situent dans la moyenne</v>
      </c>
      <c r="F172" s="313"/>
      <c r="G172" s="313"/>
      <c r="H172" s="313"/>
      <c r="I172" s="313"/>
      <c r="J172" s="313"/>
      <c r="K172" s="313"/>
      <c r="L172" s="313"/>
      <c r="M172" s="313"/>
      <c r="N172" s="313"/>
      <c r="O172" s="313"/>
      <c r="P172" s="314"/>
    </row>
    <row r="173" spans="4:16" x14ac:dyDescent="0.3">
      <c r="E173" s="315"/>
      <c r="F173" s="316"/>
      <c r="G173" s="316"/>
      <c r="H173" s="316"/>
      <c r="I173" s="316"/>
      <c r="J173" s="316"/>
      <c r="K173" s="316"/>
      <c r="L173" s="316"/>
      <c r="M173" s="316"/>
      <c r="N173" s="316"/>
      <c r="O173" s="316"/>
      <c r="P173" s="317"/>
    </row>
    <row r="174" spans="4:16" x14ac:dyDescent="0.3">
      <c r="E174" s="315"/>
      <c r="F174" s="316"/>
      <c r="G174" s="316"/>
      <c r="H174" s="316"/>
      <c r="I174" s="316"/>
      <c r="J174" s="316"/>
      <c r="K174" s="316"/>
      <c r="L174" s="316"/>
      <c r="M174" s="316"/>
      <c r="N174" s="316"/>
      <c r="O174" s="316"/>
      <c r="P174" s="317"/>
    </row>
    <row r="175" spans="4:16" x14ac:dyDescent="0.3">
      <c r="E175" s="315"/>
      <c r="F175" s="316"/>
      <c r="G175" s="316"/>
      <c r="H175" s="316"/>
      <c r="I175" s="316"/>
      <c r="J175" s="316"/>
      <c r="K175" s="316"/>
      <c r="L175" s="316"/>
      <c r="M175" s="316"/>
      <c r="N175" s="316"/>
      <c r="O175" s="316"/>
      <c r="P175" s="317"/>
    </row>
    <row r="176" spans="4:16" x14ac:dyDescent="0.3">
      <c r="E176" s="315"/>
      <c r="F176" s="316"/>
      <c r="G176" s="316"/>
      <c r="H176" s="316"/>
      <c r="I176" s="316"/>
      <c r="J176" s="316"/>
      <c r="K176" s="316"/>
      <c r="L176" s="316"/>
      <c r="M176" s="316"/>
      <c r="N176" s="316"/>
      <c r="O176" s="316"/>
      <c r="P176" s="317"/>
    </row>
    <row r="177" spans="4:16" ht="15" thickBot="1" x14ac:dyDescent="0.35">
      <c r="E177" s="318"/>
      <c r="F177" s="319"/>
      <c r="G177" s="319"/>
      <c r="H177" s="319"/>
      <c r="I177" s="319"/>
      <c r="J177" s="319"/>
      <c r="K177" s="319"/>
      <c r="L177" s="319"/>
      <c r="M177" s="319"/>
      <c r="N177" s="319"/>
      <c r="O177" s="319"/>
      <c r="P177" s="320"/>
    </row>
    <row r="179" spans="4:16" ht="18.600000000000001" thickBot="1" x14ac:dyDescent="0.4">
      <c r="D179" s="54" t="s">
        <v>417</v>
      </c>
      <c r="E179" s="54"/>
    </row>
    <row r="180" spans="4:16" x14ac:dyDescent="0.3">
      <c r="E180" s="312" t="str">
        <f>IF(OR(AND(F142&gt;=20,F142&lt;=33),AND(F142&gt;33,F142&lt;=44)),CONCATENATE("Cette personne est plus à l'aise dans les tâches et les situations concrètes et qui lui sont connues que dans celles nécessitant de l'innovation et de la créativité","Elle préfère généralement s'en tenir à ce qu'elle connait plutôt que d'avoir à apprendre de nouvelles choses","Elle peut accueillir certains changements organisationnels avec réticence et elle n'a pas tendance à initier des changements"),IF(AND(F142&gt;44,F142&lt;=55),"La personne présente une capacité moyenne à créer et conceptualiser Elle a une approche plus pragmatique et se concentre souvent sur des solutions pratiques plutôt que sur des idées innovantes",IF(OR(AND(F142&gt;55,F142&lt;=64),AND(F142&gt;64,F142&lt;=80)),CONCATENATE("Cette personne est susceptible de bien performer dans les tâches et les situations qui nécessitent de l’ouverture aux nouvelles idées et aux nouvelles expériences","Elle peut faire preuve d’innovation et de créativité dans la gestion des problèmes et dans différentes situations","Elle recherche les occasions d’apprentissage et de développement Elle est généralement favorable aux changements organisationnels et peut être un moteur de changement"))))</f>
        <v>Cette personne est susceptible de bien performer dans les tâches et les situations qui nécessitent de l’ouverture aux nouvelles idées et aux nouvelles expériencesElle peut faire preuve d’innovation et de créativité dans la gestion des problèmes et dans différentes situationsElle recherche les occasions d’apprentissage et de développement Elle est généralement favorable aux changements organisationnels et peut être un moteur de changement</v>
      </c>
      <c r="F180" s="313"/>
      <c r="G180" s="313"/>
      <c r="H180" s="313"/>
      <c r="I180" s="313"/>
      <c r="J180" s="313"/>
      <c r="K180" s="313"/>
      <c r="L180" s="313"/>
      <c r="M180" s="313"/>
      <c r="N180" s="313"/>
      <c r="O180" s="313"/>
      <c r="P180" s="314"/>
    </row>
    <row r="181" spans="4:16" x14ac:dyDescent="0.3">
      <c r="E181" s="315"/>
      <c r="F181" s="316"/>
      <c r="G181" s="316"/>
      <c r="H181" s="316"/>
      <c r="I181" s="316"/>
      <c r="J181" s="316"/>
      <c r="K181" s="316"/>
      <c r="L181" s="316"/>
      <c r="M181" s="316"/>
      <c r="N181" s="316"/>
      <c r="O181" s="316"/>
      <c r="P181" s="317"/>
    </row>
    <row r="182" spans="4:16" x14ac:dyDescent="0.3">
      <c r="E182" s="315"/>
      <c r="F182" s="316"/>
      <c r="G182" s="316"/>
      <c r="H182" s="316"/>
      <c r="I182" s="316"/>
      <c r="J182" s="316"/>
      <c r="K182" s="316"/>
      <c r="L182" s="316"/>
      <c r="M182" s="316"/>
      <c r="N182" s="316"/>
      <c r="O182" s="316"/>
      <c r="P182" s="317"/>
    </row>
    <row r="183" spans="4:16" x14ac:dyDescent="0.3">
      <c r="E183" s="315"/>
      <c r="F183" s="316"/>
      <c r="G183" s="316"/>
      <c r="H183" s="316"/>
      <c r="I183" s="316"/>
      <c r="J183" s="316"/>
      <c r="K183" s="316"/>
      <c r="L183" s="316"/>
      <c r="M183" s="316"/>
      <c r="N183" s="316"/>
      <c r="O183" s="316"/>
      <c r="P183" s="317"/>
    </row>
    <row r="184" spans="4:16" x14ac:dyDescent="0.3">
      <c r="E184" s="315"/>
      <c r="F184" s="316"/>
      <c r="G184" s="316"/>
      <c r="H184" s="316"/>
      <c r="I184" s="316"/>
      <c r="J184" s="316"/>
      <c r="K184" s="316"/>
      <c r="L184" s="316"/>
      <c r="M184" s="316"/>
      <c r="N184" s="316"/>
      <c r="O184" s="316"/>
      <c r="P184" s="317"/>
    </row>
    <row r="185" spans="4:16" ht="15" thickBot="1" x14ac:dyDescent="0.35">
      <c r="E185" s="318"/>
      <c r="F185" s="319"/>
      <c r="G185" s="319"/>
      <c r="H185" s="319"/>
      <c r="I185" s="319"/>
      <c r="J185" s="319"/>
      <c r="K185" s="319"/>
      <c r="L185" s="319"/>
      <c r="M185" s="319"/>
      <c r="N185" s="319"/>
      <c r="O185" s="319"/>
      <c r="P185" s="320"/>
    </row>
    <row r="187" spans="4:16" ht="18.600000000000001" thickBot="1" x14ac:dyDescent="0.4">
      <c r="D187" s="54" t="s">
        <v>423</v>
      </c>
      <c r="E187" s="54"/>
    </row>
    <row r="188" spans="4:16" x14ac:dyDescent="0.3">
      <c r="E188" s="312" t="str">
        <f>IF(OR(AND(F144&gt;=20,F144&lt;=33),AND(F144&gt;33,F144&lt;=44)),"Cette personne peut rencontrer des difficultés dans ces domaines et avoir besoin de soutien et de développement pour améliorer ses compétences organisationnelles et d'exécution",IF(AND(F144&gt;44,F144&lt;=55),"Cette personne se trouve dans la moyenne des gens quant à sa tendance à planifier à l’avance à travailler de manière systématique et organisée ainsi qu’à suivre les directives et les procédures",IF(OR(AND(F144&gt;55,F144&lt;=64),AND(F144&gt;64,F144&lt;=80)),CONCATENATE("Cette personne est souvent efficaces dans leur gestion du temps capable de prioriser leurs tâches et de bien mener leurs projets"," Elles ont tendance à être fiables et à respecter les délais Leur approche méthodique et leur capacité à s'organiser ","leur permettent de gérer efficacement les différentes exigences et responsabilité qui leur sont confiées"))))</f>
        <v>Cette personne se trouve dans la moyenne des gens quant à sa tendance à planifier à l’avance à travailler de manière systématique et organisée ainsi qu’à suivre les directives et les procédures</v>
      </c>
      <c r="F188" s="313"/>
      <c r="G188" s="313"/>
      <c r="H188" s="313"/>
      <c r="I188" s="313"/>
      <c r="J188" s="313"/>
      <c r="K188" s="313"/>
      <c r="L188" s="313"/>
      <c r="M188" s="313"/>
      <c r="N188" s="313"/>
      <c r="O188" s="313"/>
      <c r="P188" s="314"/>
    </row>
    <row r="189" spans="4:16" x14ac:dyDescent="0.3">
      <c r="E189" s="315"/>
      <c r="F189" s="316"/>
      <c r="G189" s="316"/>
      <c r="H189" s="316"/>
      <c r="I189" s="316"/>
      <c r="J189" s="316"/>
      <c r="K189" s="316"/>
      <c r="L189" s="316"/>
      <c r="M189" s="316"/>
      <c r="N189" s="316"/>
      <c r="O189" s="316"/>
      <c r="P189" s="317"/>
    </row>
    <row r="190" spans="4:16" x14ac:dyDescent="0.3">
      <c r="E190" s="315"/>
      <c r="F190" s="316"/>
      <c r="G190" s="316"/>
      <c r="H190" s="316"/>
      <c r="I190" s="316"/>
      <c r="J190" s="316"/>
      <c r="K190" s="316"/>
      <c r="L190" s="316"/>
      <c r="M190" s="316"/>
      <c r="N190" s="316"/>
      <c r="O190" s="316"/>
      <c r="P190" s="317"/>
    </row>
    <row r="191" spans="4:16" x14ac:dyDescent="0.3">
      <c r="E191" s="315"/>
      <c r="F191" s="316"/>
      <c r="G191" s="316"/>
      <c r="H191" s="316"/>
      <c r="I191" s="316"/>
      <c r="J191" s="316"/>
      <c r="K191" s="316"/>
      <c r="L191" s="316"/>
      <c r="M191" s="316"/>
      <c r="N191" s="316"/>
      <c r="O191" s="316"/>
      <c r="P191" s="317"/>
    </row>
    <row r="192" spans="4:16" x14ac:dyDescent="0.3">
      <c r="E192" s="315"/>
      <c r="F192" s="316"/>
      <c r="G192" s="316"/>
      <c r="H192" s="316"/>
      <c r="I192" s="316"/>
      <c r="J192" s="316"/>
      <c r="K192" s="316"/>
      <c r="L192" s="316"/>
      <c r="M192" s="316"/>
      <c r="N192" s="316"/>
      <c r="O192" s="316"/>
      <c r="P192" s="317"/>
    </row>
    <row r="193" spans="4:16" ht="15" thickBot="1" x14ac:dyDescent="0.35">
      <c r="E193" s="318"/>
      <c r="F193" s="319"/>
      <c r="G193" s="319"/>
      <c r="H193" s="319"/>
      <c r="I193" s="319"/>
      <c r="J193" s="319"/>
      <c r="K193" s="319"/>
      <c r="L193" s="319"/>
      <c r="M193" s="319"/>
      <c r="N193" s="319"/>
      <c r="O193" s="319"/>
      <c r="P193" s="320"/>
    </row>
    <row r="195" spans="4:16" ht="18.600000000000001" thickBot="1" x14ac:dyDescent="0.4">
      <c r="D195" s="300" t="s">
        <v>428</v>
      </c>
      <c r="E195" s="300"/>
      <c r="F195" s="300"/>
    </row>
    <row r="196" spans="4:16" x14ac:dyDescent="0.3">
      <c r="E196" s="312" t="str">
        <f>IF(OR(AND(F146&gt;=20,F146&lt;=33),AND(F146&gt;33,F146&lt;=44)),CONCATENATE("Cette personne à une faible capacité à gérer la pression ainsi qu'à s'adapter et à faire face aux revers et aux échecs peut rencontrer des difficultés dans ces domaines ","et avoir besoin de soutien et de développement pour améliorer ses compétences d'adaptation et de gestion du stress"),IF(AND(F146&gt;44,F146&lt;=55),"Cette personne est dans la moyenne quant à sa capacité à gérer la pression ainsi qu’à s’adapter et à faire face aux revers et aux échecs Il peut lui arriver de se sentir dépassée par les événements",IF(OR(AND(F146&gt;55,F146&lt;=64),AND(F146&lt;64,F146&lt;=80)),"Cette personne à une bonne capacité à gérer la pression ainsi qu'à s'adapter et à faire face aux revers et aux échecs. Il est rare qu'elle se sente dépassée par les événements")))</f>
        <v>Cette personne est dans la moyenne quant à sa capacité à gérer la pression ainsi qu’à s’adapter et à faire face aux revers et aux échecs Il peut lui arriver de se sentir dépassée par les événements</v>
      </c>
      <c r="F196" s="313"/>
      <c r="G196" s="313"/>
      <c r="H196" s="313"/>
      <c r="I196" s="313"/>
      <c r="J196" s="313"/>
      <c r="K196" s="313"/>
      <c r="L196" s="313"/>
      <c r="M196" s="313"/>
      <c r="N196" s="313"/>
      <c r="O196" s="313"/>
      <c r="P196" s="314"/>
    </row>
    <row r="197" spans="4:16" x14ac:dyDescent="0.3">
      <c r="E197" s="315"/>
      <c r="F197" s="316"/>
      <c r="G197" s="316"/>
      <c r="H197" s="316"/>
      <c r="I197" s="316"/>
      <c r="J197" s="316"/>
      <c r="K197" s="316"/>
      <c r="L197" s="316"/>
      <c r="M197" s="316"/>
      <c r="N197" s="316"/>
      <c r="O197" s="316"/>
      <c r="P197" s="317"/>
    </row>
    <row r="198" spans="4:16" x14ac:dyDescent="0.3">
      <c r="E198" s="315"/>
      <c r="F198" s="316"/>
      <c r="G198" s="316"/>
      <c r="H198" s="316"/>
      <c r="I198" s="316"/>
      <c r="J198" s="316"/>
      <c r="K198" s="316"/>
      <c r="L198" s="316"/>
      <c r="M198" s="316"/>
      <c r="N198" s="316"/>
      <c r="O198" s="316"/>
      <c r="P198" s="317"/>
    </row>
    <row r="199" spans="4:16" x14ac:dyDescent="0.3">
      <c r="E199" s="315"/>
      <c r="F199" s="316"/>
      <c r="G199" s="316"/>
      <c r="H199" s="316"/>
      <c r="I199" s="316"/>
      <c r="J199" s="316"/>
      <c r="K199" s="316"/>
      <c r="L199" s="316"/>
      <c r="M199" s="316"/>
      <c r="N199" s="316"/>
      <c r="O199" s="316"/>
      <c r="P199" s="317"/>
    </row>
    <row r="200" spans="4:16" x14ac:dyDescent="0.3">
      <c r="E200" s="315"/>
      <c r="F200" s="316"/>
      <c r="G200" s="316"/>
      <c r="H200" s="316"/>
      <c r="I200" s="316"/>
      <c r="J200" s="316"/>
      <c r="K200" s="316"/>
      <c r="L200" s="316"/>
      <c r="M200" s="316"/>
      <c r="N200" s="316"/>
      <c r="O200" s="316"/>
      <c r="P200" s="317"/>
    </row>
    <row r="201" spans="4:16" ht="15" thickBot="1" x14ac:dyDescent="0.35">
      <c r="E201" s="318"/>
      <c r="F201" s="319"/>
      <c r="G201" s="319"/>
      <c r="H201" s="319"/>
      <c r="I201" s="319"/>
      <c r="J201" s="319"/>
      <c r="K201" s="319"/>
      <c r="L201" s="319"/>
      <c r="M201" s="319"/>
      <c r="N201" s="319"/>
      <c r="O201" s="319"/>
      <c r="P201" s="320"/>
    </row>
    <row r="203" spans="4:16" ht="18.600000000000001" thickBot="1" x14ac:dyDescent="0.4">
      <c r="D203" s="300" t="s">
        <v>454</v>
      </c>
      <c r="E203" s="300"/>
      <c r="F203" s="300"/>
    </row>
    <row r="204" spans="4:16" x14ac:dyDescent="0.3">
      <c r="E204" s="301" t="str">
        <f>IF(OR(AND(F148&gt;=20,F148&lt;=33),AND(F148&gt;33,F148&lt;=44)),CONCATENATE("la personne est incapable d'entreprendre ou de performer. Cela indique simplement quelle peut rencontrer des défis dans ces domaines ","et avoir besoin de soutien et de développement pour renforcer ses compétences et sa confiance en soi"),IF(AND(F148&gt;44,F148&lt;=55),CONCATENATE("Cette personne n’est pas particulièrement centrée sur les résultats et sur l’atteinte d’objectifs sans pour autant être négligente ou désengagée"," Elle ne se démarque pas de la moyenne quant à sa recherche de performance et de réussite"," Les opportunités de développement et d’avancement de carrière peuvent être appréciées mais ne sont pas nécessairement centrales pour elle"),IF(OR(AND(F148&gt;55,F148&lt;=64),AND(F148&gt;64,F148&lt;=80)),CONCATENATE("la personne est exempte de défi ou de domaines d'amélioration cependant cela indique qu'elle possède des traits de personnalité qui sont souvent associés"," à une forte capacité d'entreprendre et de performer"))))</f>
        <v>la personne est exempte de défi ou de domaines d'amélioration cependant cela indique qu'elle possède des traits de personnalité qui sont souvent associés à une forte capacité d'entreprendre et de performer</v>
      </c>
      <c r="F204" s="302"/>
      <c r="G204" s="302"/>
      <c r="H204" s="302"/>
      <c r="I204" s="302"/>
      <c r="J204" s="302"/>
      <c r="K204" s="302"/>
      <c r="L204" s="302"/>
      <c r="M204" s="302"/>
      <c r="N204" s="302"/>
      <c r="O204" s="302"/>
      <c r="P204" s="303"/>
    </row>
    <row r="205" spans="4:16" x14ac:dyDescent="0.3">
      <c r="E205" s="304"/>
      <c r="F205" s="305"/>
      <c r="G205" s="305"/>
      <c r="H205" s="305"/>
      <c r="I205" s="305"/>
      <c r="J205" s="305"/>
      <c r="K205" s="305"/>
      <c r="L205" s="305"/>
      <c r="M205" s="305"/>
      <c r="N205" s="305"/>
      <c r="O205" s="305"/>
      <c r="P205" s="306"/>
    </row>
    <row r="206" spans="4:16" x14ac:dyDescent="0.3">
      <c r="E206" s="304"/>
      <c r="F206" s="305"/>
      <c r="G206" s="305"/>
      <c r="H206" s="305"/>
      <c r="I206" s="305"/>
      <c r="J206" s="305"/>
      <c r="K206" s="305"/>
      <c r="L206" s="305"/>
      <c r="M206" s="305"/>
      <c r="N206" s="305"/>
      <c r="O206" s="305"/>
      <c r="P206" s="306"/>
    </row>
    <row r="207" spans="4:16" x14ac:dyDescent="0.3">
      <c r="E207" s="304"/>
      <c r="F207" s="305"/>
      <c r="G207" s="305"/>
      <c r="H207" s="305"/>
      <c r="I207" s="305"/>
      <c r="J207" s="305"/>
      <c r="K207" s="305"/>
      <c r="L207" s="305"/>
      <c r="M207" s="305"/>
      <c r="N207" s="305"/>
      <c r="O207" s="305"/>
      <c r="P207" s="306"/>
    </row>
    <row r="208" spans="4:16" x14ac:dyDescent="0.3">
      <c r="E208" s="304"/>
      <c r="F208" s="305"/>
      <c r="G208" s="305"/>
      <c r="H208" s="305"/>
      <c r="I208" s="305"/>
      <c r="J208" s="305"/>
      <c r="K208" s="305"/>
      <c r="L208" s="305"/>
      <c r="M208" s="305"/>
      <c r="N208" s="305"/>
      <c r="O208" s="305"/>
      <c r="P208" s="306"/>
    </row>
    <row r="209" spans="3:16" x14ac:dyDescent="0.3">
      <c r="E209" s="304"/>
      <c r="F209" s="305"/>
      <c r="G209" s="305"/>
      <c r="H209" s="305"/>
      <c r="I209" s="305"/>
      <c r="J209" s="305"/>
      <c r="K209" s="305"/>
      <c r="L209" s="305"/>
      <c r="M209" s="305"/>
      <c r="N209" s="305"/>
      <c r="O209" s="305"/>
      <c r="P209" s="306"/>
    </row>
    <row r="210" spans="3:16" ht="15" thickBot="1" x14ac:dyDescent="0.35">
      <c r="E210" s="307"/>
      <c r="F210" s="308"/>
      <c r="G210" s="308"/>
      <c r="H210" s="308"/>
      <c r="I210" s="308"/>
      <c r="J210" s="308"/>
      <c r="K210" s="308"/>
      <c r="L210" s="308"/>
      <c r="M210" s="308"/>
      <c r="N210" s="308"/>
      <c r="O210" s="308"/>
      <c r="P210" s="309"/>
    </row>
    <row r="214" spans="3:16" ht="15.6" x14ac:dyDescent="0.3">
      <c r="D214" s="132" t="s">
        <v>483</v>
      </c>
      <c r="L214" s="132" t="s">
        <v>488</v>
      </c>
    </row>
    <row r="215" spans="3:16" ht="15" thickBot="1" x14ac:dyDescent="0.35"/>
    <row r="216" spans="3:16" x14ac:dyDescent="0.3">
      <c r="D216" s="294">
        <f>TOTAL!Q6</f>
        <v>49</v>
      </c>
      <c r="F216" s="294">
        <f>TOTAL!Q8</f>
        <v>55</v>
      </c>
      <c r="L216" s="281">
        <f>TOTAL!Q9</f>
        <v>46</v>
      </c>
      <c r="M216" s="33"/>
      <c r="N216" s="281">
        <f>TOTAL!Q4</f>
        <v>56</v>
      </c>
    </row>
    <row r="217" spans="3:16" x14ac:dyDescent="0.3">
      <c r="C217" t="s">
        <v>484</v>
      </c>
      <c r="D217" s="295"/>
      <c r="F217" s="295"/>
      <c r="G217" t="s">
        <v>485</v>
      </c>
      <c r="K217" t="s">
        <v>489</v>
      </c>
      <c r="L217" s="282"/>
      <c r="M217" s="33"/>
      <c r="N217" s="282"/>
      <c r="O217" t="s">
        <v>490</v>
      </c>
    </row>
    <row r="218" spans="3:16" ht="15" thickBot="1" x14ac:dyDescent="0.35">
      <c r="D218" s="296"/>
      <c r="F218" s="296"/>
      <c r="L218" s="283"/>
      <c r="M218" s="33"/>
      <c r="N218" s="283"/>
    </row>
    <row r="219" spans="3:16" x14ac:dyDescent="0.3">
      <c r="L219" s="33"/>
      <c r="M219" s="33"/>
      <c r="N219" s="33"/>
    </row>
    <row r="220" spans="3:16" ht="15" thickBot="1" x14ac:dyDescent="0.35">
      <c r="L220" s="33"/>
      <c r="M220" s="33"/>
      <c r="N220" s="33"/>
    </row>
    <row r="221" spans="3:16" x14ac:dyDescent="0.3">
      <c r="D221" s="297">
        <f>TOTAL!Q7</f>
        <v>46</v>
      </c>
      <c r="F221" s="297">
        <f>TOTAL!U9</f>
        <v>53</v>
      </c>
      <c r="L221" s="277">
        <f>TOTAL!Q26</f>
        <v>59</v>
      </c>
      <c r="M221" s="33"/>
      <c r="N221" s="281">
        <f>TOTAL!U14</f>
        <v>30</v>
      </c>
    </row>
    <row r="222" spans="3:16" x14ac:dyDescent="0.3">
      <c r="C222" t="s">
        <v>486</v>
      </c>
      <c r="D222" s="298"/>
      <c r="F222" s="298"/>
      <c r="G222" t="s">
        <v>487</v>
      </c>
      <c r="K222" s="33" t="s">
        <v>491</v>
      </c>
      <c r="L222" s="278"/>
      <c r="M222" s="33"/>
      <c r="N222" s="282"/>
      <c r="O222" t="s">
        <v>492</v>
      </c>
    </row>
    <row r="223" spans="3:16" ht="15" thickBot="1" x14ac:dyDescent="0.35">
      <c r="D223" s="299"/>
      <c r="F223" s="299"/>
      <c r="L223" s="279"/>
      <c r="M223" s="33"/>
      <c r="N223" s="283"/>
    </row>
    <row r="227" spans="3:15" x14ac:dyDescent="0.3">
      <c r="D227" s="33"/>
    </row>
    <row r="228" spans="3:15" ht="15.6" x14ac:dyDescent="0.3">
      <c r="D228" s="132" t="s">
        <v>493</v>
      </c>
      <c r="L228" s="132" t="s">
        <v>498</v>
      </c>
    </row>
    <row r="229" spans="3:15" ht="15" thickBot="1" x14ac:dyDescent="0.35"/>
    <row r="230" spans="3:15" x14ac:dyDescent="0.3">
      <c r="D230" s="277">
        <f>TOTAL!Q5</f>
        <v>53</v>
      </c>
      <c r="F230" s="281">
        <f>TOTAL!U18</f>
        <v>42</v>
      </c>
      <c r="L230" s="281">
        <f>TOTAL!Q17</f>
        <v>52</v>
      </c>
      <c r="N230" s="281">
        <f>TOTAL!U17</f>
        <v>40</v>
      </c>
    </row>
    <row r="231" spans="3:15" x14ac:dyDescent="0.3">
      <c r="C231" t="s">
        <v>494</v>
      </c>
      <c r="D231" s="278"/>
      <c r="F231" s="282"/>
      <c r="G231" t="s">
        <v>495</v>
      </c>
      <c r="K231" t="s">
        <v>499</v>
      </c>
      <c r="L231" s="282"/>
      <c r="N231" s="282"/>
      <c r="O231" t="s">
        <v>500</v>
      </c>
    </row>
    <row r="232" spans="3:15" ht="15" thickBot="1" x14ac:dyDescent="0.35">
      <c r="D232" s="279"/>
      <c r="F232" s="283"/>
      <c r="L232" s="283"/>
      <c r="N232" s="283"/>
    </row>
    <row r="234" spans="3:15" ht="15" thickBot="1" x14ac:dyDescent="0.35"/>
    <row r="235" spans="3:15" x14ac:dyDescent="0.3">
      <c r="D235" s="281">
        <f>TOTAL!U17</f>
        <v>40</v>
      </c>
      <c r="F235" s="281">
        <f>TOTAL!U16</f>
        <v>46</v>
      </c>
      <c r="L235" s="281">
        <f>TOTAL!Q13</f>
        <v>49</v>
      </c>
      <c r="N235" s="277">
        <f>TOTAL!Q24</f>
        <v>51</v>
      </c>
    </row>
    <row r="236" spans="3:15" x14ac:dyDescent="0.3">
      <c r="C236" t="s">
        <v>496</v>
      </c>
      <c r="D236" s="282"/>
      <c r="F236" s="282"/>
      <c r="G236" t="s">
        <v>497</v>
      </c>
      <c r="K236" t="s">
        <v>501</v>
      </c>
      <c r="L236" s="282"/>
      <c r="N236" s="278"/>
      <c r="O236" t="s">
        <v>502</v>
      </c>
    </row>
    <row r="237" spans="3:15" ht="15" thickBot="1" x14ac:dyDescent="0.35">
      <c r="D237" s="283"/>
      <c r="F237" s="283"/>
      <c r="L237" s="283"/>
      <c r="N237" s="279"/>
    </row>
    <row r="240" spans="3:15" ht="15.6" x14ac:dyDescent="0.3">
      <c r="D240" s="132" t="s">
        <v>503</v>
      </c>
      <c r="L240" s="132" t="s">
        <v>508</v>
      </c>
    </row>
    <row r="241" spans="2:15" ht="15" thickBot="1" x14ac:dyDescent="0.35"/>
    <row r="242" spans="2:15" x14ac:dyDescent="0.3">
      <c r="D242" s="281">
        <f>TOTAL!U5</f>
        <v>59</v>
      </c>
      <c r="F242" s="281">
        <f>TOTAL!Q14</f>
        <v>53</v>
      </c>
      <c r="L242" s="281">
        <f>TOTAL!U18</f>
        <v>42</v>
      </c>
      <c r="N242" s="281">
        <f>TOTAL!U4</f>
        <v>48</v>
      </c>
    </row>
    <row r="243" spans="2:15" x14ac:dyDescent="0.3">
      <c r="B243" s="198" t="s">
        <v>504</v>
      </c>
      <c r="C243" s="280"/>
      <c r="D243" s="282"/>
      <c r="F243" s="282"/>
      <c r="G243" t="s">
        <v>505</v>
      </c>
      <c r="K243" t="s">
        <v>509</v>
      </c>
      <c r="L243" s="282"/>
      <c r="N243" s="282"/>
      <c r="O243" t="s">
        <v>510</v>
      </c>
    </row>
    <row r="244" spans="2:15" ht="15" thickBot="1" x14ac:dyDescent="0.35">
      <c r="D244" s="283"/>
      <c r="F244" s="283"/>
      <c r="L244" s="283"/>
      <c r="N244" s="283"/>
    </row>
    <row r="246" spans="2:15" ht="15" thickBot="1" x14ac:dyDescent="0.35"/>
    <row r="247" spans="2:15" x14ac:dyDescent="0.3">
      <c r="D247" s="277">
        <f>TOTAL!Q7</f>
        <v>46</v>
      </c>
      <c r="F247" s="277">
        <f>TOTAL!Q27</f>
        <v>50</v>
      </c>
      <c r="L247" s="291"/>
      <c r="N247" s="277">
        <f>TOTAL!U6</f>
        <v>47</v>
      </c>
    </row>
    <row r="248" spans="2:15" x14ac:dyDescent="0.3">
      <c r="C248" t="s">
        <v>506</v>
      </c>
      <c r="D248" s="278"/>
      <c r="F248" s="278"/>
      <c r="G248" t="s">
        <v>507</v>
      </c>
      <c r="K248" t="s">
        <v>511</v>
      </c>
      <c r="L248" s="292"/>
      <c r="N248" s="278"/>
      <c r="O248" t="s">
        <v>512</v>
      </c>
    </row>
    <row r="249" spans="2:15" ht="15" thickBot="1" x14ac:dyDescent="0.35">
      <c r="D249" s="279"/>
      <c r="F249" s="279"/>
      <c r="L249" s="293"/>
      <c r="N249" s="279"/>
    </row>
    <row r="251" spans="2:15" ht="15.6" x14ac:dyDescent="0.3">
      <c r="D251" s="132" t="s">
        <v>513</v>
      </c>
      <c r="L251" s="132" t="s">
        <v>518</v>
      </c>
    </row>
    <row r="252" spans="2:15" ht="15" thickBot="1" x14ac:dyDescent="0.35"/>
    <row r="253" spans="2:15" x14ac:dyDescent="0.3">
      <c r="D253" s="277">
        <f>TOTAL!U8</f>
        <v>59</v>
      </c>
      <c r="F253" s="281">
        <f>TOTAL!U7</f>
        <v>60</v>
      </c>
      <c r="L253" s="281">
        <f>TOTAL!U16</f>
        <v>46</v>
      </c>
      <c r="N253" s="281">
        <f>TOTAL!Q18</f>
        <v>47</v>
      </c>
    </row>
    <row r="254" spans="2:15" x14ac:dyDescent="0.3">
      <c r="B254" s="198" t="s">
        <v>514</v>
      </c>
      <c r="C254" s="280"/>
      <c r="D254" s="278"/>
      <c r="F254" s="282"/>
      <c r="G254" t="s">
        <v>515</v>
      </c>
      <c r="J254" s="198" t="s">
        <v>519</v>
      </c>
      <c r="K254" s="280"/>
      <c r="L254" s="282"/>
      <c r="N254" s="282"/>
      <c r="O254" t="s">
        <v>520</v>
      </c>
    </row>
    <row r="255" spans="2:15" ht="15" thickBot="1" x14ac:dyDescent="0.35">
      <c r="D255" s="279"/>
      <c r="F255" s="283"/>
      <c r="L255" s="283"/>
      <c r="N255" s="283"/>
    </row>
    <row r="257" spans="2:15" ht="15" thickBot="1" x14ac:dyDescent="0.35"/>
    <row r="258" spans="2:15" x14ac:dyDescent="0.3">
      <c r="D258" s="281">
        <f>TOTAL!U17</f>
        <v>40</v>
      </c>
      <c r="F258" s="288">
        <f>TOTAL!Q7</f>
        <v>46</v>
      </c>
      <c r="L258" s="277">
        <f>TOTAL!Q24</f>
        <v>51</v>
      </c>
      <c r="N258" s="281">
        <f>TOTAL!Q17</f>
        <v>52</v>
      </c>
    </row>
    <row r="259" spans="2:15" x14ac:dyDescent="0.3">
      <c r="C259" t="s">
        <v>516</v>
      </c>
      <c r="D259" s="282"/>
      <c r="F259" s="289"/>
      <c r="G259" t="s">
        <v>517</v>
      </c>
      <c r="J259" s="198" t="s">
        <v>521</v>
      </c>
      <c r="K259" s="280"/>
      <c r="L259" s="278"/>
      <c r="N259" s="282"/>
      <c r="O259" t="s">
        <v>522</v>
      </c>
    </row>
    <row r="260" spans="2:15" ht="15" thickBot="1" x14ac:dyDescent="0.35">
      <c r="D260" s="283"/>
      <c r="F260" s="290"/>
      <c r="L260" s="279"/>
      <c r="N260" s="283"/>
    </row>
    <row r="263" spans="2:15" ht="15.6" x14ac:dyDescent="0.3">
      <c r="D263" s="80" t="s">
        <v>523</v>
      </c>
      <c r="L263" s="132" t="s">
        <v>528</v>
      </c>
    </row>
    <row r="264" spans="2:15" ht="15" thickBot="1" x14ac:dyDescent="0.35"/>
    <row r="265" spans="2:15" x14ac:dyDescent="0.3">
      <c r="D265" s="281">
        <f>TOTAL!Q13</f>
        <v>49</v>
      </c>
      <c r="F265" s="277">
        <f>TOTAL!Q27</f>
        <v>50</v>
      </c>
      <c r="L265" s="281">
        <f>TOTAL!U16</f>
        <v>46</v>
      </c>
      <c r="N265" s="277">
        <f>TOTAL!U15</f>
        <v>59</v>
      </c>
    </row>
    <row r="266" spans="2:15" x14ac:dyDescent="0.3">
      <c r="B266" s="198" t="s">
        <v>524</v>
      </c>
      <c r="C266" s="280"/>
      <c r="D266" s="282"/>
      <c r="F266" s="278"/>
      <c r="G266" t="s">
        <v>525</v>
      </c>
      <c r="J266" s="198" t="s">
        <v>529</v>
      </c>
      <c r="K266" s="280"/>
      <c r="L266" s="282"/>
      <c r="N266" s="278"/>
      <c r="O266" t="s">
        <v>530</v>
      </c>
    </row>
    <row r="267" spans="2:15" ht="15" thickBot="1" x14ac:dyDescent="0.35">
      <c r="D267" s="283"/>
      <c r="F267" s="279"/>
      <c r="L267" s="283"/>
      <c r="N267" s="279"/>
    </row>
    <row r="269" spans="2:15" ht="15" thickBot="1" x14ac:dyDescent="0.35"/>
    <row r="270" spans="2:15" x14ac:dyDescent="0.3">
      <c r="D270" s="281">
        <f>TOTAL!U17</f>
        <v>40</v>
      </c>
      <c r="F270" s="281">
        <f>TOTAL!U19</f>
        <v>62</v>
      </c>
      <c r="L270" s="281">
        <f>TOTAL!U17</f>
        <v>40</v>
      </c>
      <c r="N270" s="277">
        <f>TOTAL!Q27</f>
        <v>50</v>
      </c>
    </row>
    <row r="271" spans="2:15" x14ac:dyDescent="0.3">
      <c r="C271" t="s">
        <v>526</v>
      </c>
      <c r="D271" s="282"/>
      <c r="F271" s="282"/>
      <c r="G271" t="s">
        <v>527</v>
      </c>
      <c r="K271" t="s">
        <v>531</v>
      </c>
      <c r="L271" s="282"/>
      <c r="N271" s="278"/>
      <c r="O271" t="s">
        <v>532</v>
      </c>
    </row>
    <row r="272" spans="2:15" ht="15" thickBot="1" x14ac:dyDescent="0.35">
      <c r="D272" s="283"/>
      <c r="F272" s="283"/>
      <c r="L272" s="283"/>
      <c r="N272" s="279"/>
    </row>
    <row r="274" spans="3:16" ht="14.4" customHeight="1" x14ac:dyDescent="0.35">
      <c r="C274" s="144" t="s">
        <v>604</v>
      </c>
      <c r="D274" s="144"/>
      <c r="E274" s="144"/>
    </row>
    <row r="276" spans="3:16" ht="15.6" x14ac:dyDescent="0.3">
      <c r="C276" s="257" t="s">
        <v>483</v>
      </c>
      <c r="D276" s="257"/>
    </row>
    <row r="277" spans="3:16" x14ac:dyDescent="0.3">
      <c r="C277" s="137"/>
      <c r="D277" s="138"/>
      <c r="E277" s="138"/>
      <c r="F277" s="138"/>
      <c r="G277" s="138"/>
      <c r="H277" s="138"/>
      <c r="I277" s="138"/>
      <c r="J277" s="138"/>
      <c r="K277" s="138"/>
      <c r="L277" s="138"/>
      <c r="M277" s="138"/>
      <c r="N277" s="138"/>
      <c r="O277" s="138"/>
      <c r="P277" s="138"/>
    </row>
    <row r="278" spans="3:16" x14ac:dyDescent="0.3">
      <c r="C278" s="138"/>
      <c r="D278" s="138"/>
      <c r="E278" s="138"/>
      <c r="F278" s="138"/>
      <c r="G278" s="138"/>
      <c r="H278" s="138"/>
      <c r="I278" s="138"/>
      <c r="J278" s="138"/>
      <c r="K278" s="138"/>
      <c r="L278" s="138"/>
      <c r="M278" s="138"/>
      <c r="N278" s="138"/>
      <c r="O278" s="138"/>
      <c r="P278" s="138"/>
    </row>
    <row r="279" spans="3:16" x14ac:dyDescent="0.3">
      <c r="C279" s="138"/>
      <c r="D279" s="138"/>
      <c r="E279" s="138"/>
      <c r="F279" s="138"/>
      <c r="G279" s="138"/>
      <c r="H279" s="138"/>
      <c r="I279" s="138"/>
      <c r="J279" s="138"/>
      <c r="K279" s="138"/>
      <c r="L279" s="138"/>
      <c r="M279" s="138"/>
      <c r="N279" s="138"/>
      <c r="O279" s="138"/>
      <c r="P279" s="138"/>
    </row>
    <row r="280" spans="3:16" ht="19.2" customHeight="1" x14ac:dyDescent="0.3">
      <c r="C280" s="132" t="s">
        <v>581</v>
      </c>
      <c r="D280" s="132"/>
      <c r="E280" s="132"/>
      <c r="F280" s="132"/>
      <c r="G280" s="139"/>
      <c r="H280" s="138"/>
      <c r="I280" s="138"/>
      <c r="J280" s="138"/>
      <c r="K280" s="138"/>
      <c r="L280" s="138"/>
      <c r="M280" s="138"/>
      <c r="N280" s="138"/>
      <c r="O280" s="138"/>
      <c r="P280" s="138"/>
    </row>
    <row r="281" spans="3:16" x14ac:dyDescent="0.3">
      <c r="C281" s="138"/>
      <c r="D281" s="138"/>
      <c r="E281" s="138"/>
      <c r="F281" s="138"/>
      <c r="G281" s="138"/>
      <c r="H281" s="138"/>
      <c r="I281" s="138"/>
      <c r="J281" s="138"/>
      <c r="K281" s="138"/>
      <c r="L281" s="138"/>
      <c r="M281" s="138"/>
      <c r="N281" s="138"/>
      <c r="O281" s="138"/>
      <c r="P281" s="138"/>
    </row>
    <row r="282" spans="3:16" x14ac:dyDescent="0.3">
      <c r="C282" s="138"/>
      <c r="D282" s="138"/>
      <c r="E282" s="138"/>
      <c r="F282" s="138"/>
      <c r="G282" s="138"/>
      <c r="H282" s="138"/>
      <c r="I282" s="138"/>
      <c r="J282" s="138"/>
      <c r="K282" s="138"/>
      <c r="L282" s="138"/>
      <c r="M282" s="138"/>
      <c r="N282" s="138"/>
      <c r="O282" s="138"/>
      <c r="P282" s="138"/>
    </row>
    <row r="283" spans="3:16" x14ac:dyDescent="0.3">
      <c r="C283" s="138"/>
      <c r="D283" s="138"/>
      <c r="E283" s="138"/>
      <c r="F283" s="138"/>
      <c r="G283" s="138"/>
      <c r="H283" s="138"/>
      <c r="I283" s="138"/>
      <c r="J283" s="138"/>
      <c r="K283" s="138"/>
      <c r="L283" s="138"/>
      <c r="M283" s="138"/>
      <c r="N283" s="138"/>
      <c r="O283" s="138"/>
      <c r="P283" s="138"/>
    </row>
    <row r="284" spans="3:16" x14ac:dyDescent="0.3">
      <c r="C284" s="138"/>
      <c r="D284" s="138"/>
      <c r="E284" s="138"/>
      <c r="F284" s="138"/>
      <c r="G284" s="138"/>
      <c r="H284" s="138"/>
      <c r="I284" s="138"/>
      <c r="J284" s="138"/>
      <c r="K284" s="138"/>
      <c r="L284" s="138"/>
      <c r="M284" s="138"/>
      <c r="N284" s="138"/>
      <c r="O284" s="138"/>
      <c r="P284" s="138"/>
    </row>
    <row r="285" spans="3:16" x14ac:dyDescent="0.3">
      <c r="C285" s="140" t="s">
        <v>582</v>
      </c>
      <c r="D285" s="140"/>
      <c r="E285" s="45"/>
    </row>
    <row r="290" spans="3:6" ht="15.6" x14ac:dyDescent="0.3">
      <c r="C290" s="141" t="s">
        <v>583</v>
      </c>
      <c r="D290" s="141"/>
      <c r="E290" s="141"/>
      <c r="F290" s="80"/>
    </row>
    <row r="295" spans="3:6" ht="15.6" x14ac:dyDescent="0.3">
      <c r="C295" s="284" t="s">
        <v>584</v>
      </c>
      <c r="D295" s="284"/>
    </row>
    <row r="300" spans="3:6" ht="15.6" x14ac:dyDescent="0.3">
      <c r="C300" s="285" t="s">
        <v>585</v>
      </c>
      <c r="D300" s="285"/>
    </row>
    <row r="305" spans="3:4" ht="15.6" x14ac:dyDescent="0.3">
      <c r="C305" s="285" t="s">
        <v>586</v>
      </c>
      <c r="D305" s="285"/>
    </row>
    <row r="310" spans="3:4" ht="15.6" x14ac:dyDescent="0.3">
      <c r="C310" s="285" t="s">
        <v>587</v>
      </c>
      <c r="D310" s="285"/>
    </row>
    <row r="316" spans="3:4" x14ac:dyDescent="0.3">
      <c r="C316" s="286" t="s">
        <v>588</v>
      </c>
      <c r="D316" s="286"/>
    </row>
    <row r="322" spans="3:7" ht="15.6" x14ac:dyDescent="0.3">
      <c r="C322" s="285" t="s">
        <v>589</v>
      </c>
      <c r="D322" s="285"/>
    </row>
    <row r="327" spans="3:7" ht="18" x14ac:dyDescent="0.3">
      <c r="C327" s="142" t="s">
        <v>592</v>
      </c>
      <c r="D327" s="142"/>
    </row>
    <row r="330" spans="3:7" ht="15.6" x14ac:dyDescent="0.3">
      <c r="C330" s="287" t="s">
        <v>593</v>
      </c>
      <c r="D330" s="287"/>
      <c r="E330" s="143">
        <f>F140</f>
        <v>51</v>
      </c>
      <c r="F330" s="143"/>
      <c r="G330" s="143"/>
    </row>
    <row r="332" spans="3:7" ht="15.6" x14ac:dyDescent="0.3">
      <c r="C332" s="287" t="s">
        <v>594</v>
      </c>
      <c r="D332" s="287"/>
      <c r="E332" s="143">
        <f>(TOTAL!Q22+TOTAL!Q23+TOTAL!Q25)/3</f>
        <v>54.666666666666664</v>
      </c>
      <c r="F332" s="143"/>
      <c r="G332" s="143"/>
    </row>
    <row r="334" spans="3:7" ht="15.6" x14ac:dyDescent="0.3">
      <c r="C334" s="287" t="s">
        <v>595</v>
      </c>
      <c r="D334" s="287"/>
      <c r="E334" s="143">
        <f>(TOTAL!Q22+TOTAL!Q26)/2</f>
        <v>55</v>
      </c>
      <c r="F334" s="143"/>
      <c r="G334" s="143"/>
    </row>
    <row r="336" spans="3:7" ht="15.6" x14ac:dyDescent="0.3">
      <c r="C336" s="287" t="s">
        <v>596</v>
      </c>
      <c r="D336" s="287"/>
      <c r="E336" s="143" t="s">
        <v>600</v>
      </c>
      <c r="F336" s="143"/>
      <c r="G336" s="143"/>
    </row>
    <row r="338" spans="3:7" ht="15.6" x14ac:dyDescent="0.3">
      <c r="C338" s="287" t="s">
        <v>597</v>
      </c>
      <c r="D338" s="287"/>
      <c r="E338" s="143">
        <f>(TOTAL!U4+TOTAL!U6+TOTAL!U14+TOTAL!U16)/4</f>
        <v>42.75</v>
      </c>
      <c r="F338" s="143"/>
      <c r="G338" s="143"/>
    </row>
    <row r="340" spans="3:7" ht="15.6" x14ac:dyDescent="0.3">
      <c r="C340" s="287" t="s">
        <v>598</v>
      </c>
      <c r="D340" s="287"/>
      <c r="E340" s="143">
        <f>F146</f>
        <v>51</v>
      </c>
      <c r="F340" s="143"/>
      <c r="G340" s="143"/>
    </row>
    <row r="342" spans="3:7" ht="15.6" x14ac:dyDescent="0.3">
      <c r="C342" s="287" t="s">
        <v>599</v>
      </c>
      <c r="D342" s="287"/>
      <c r="E342" s="143">
        <f>F144</f>
        <v>49</v>
      </c>
      <c r="F342" s="143"/>
      <c r="G342" s="143"/>
    </row>
    <row r="344" spans="3:7" ht="15.6" x14ac:dyDescent="0.3">
      <c r="C344" s="287" t="s">
        <v>601</v>
      </c>
      <c r="D344" s="287"/>
      <c r="E344" s="143">
        <f>(TOTAL!Q7+TOTAL!Q9+TOTAL!U5+TOTAL!U14+TOTAL!Q27)/5</f>
        <v>46.2</v>
      </c>
      <c r="F344" s="143"/>
      <c r="G344" s="143"/>
    </row>
    <row r="346" spans="3:7" x14ac:dyDescent="0.3">
      <c r="C346" s="275" t="s">
        <v>602</v>
      </c>
      <c r="D346" s="276"/>
      <c r="E346" s="143">
        <f>(TOTAL!Q7+TOTAL!U6+TOTAL!U7+TOTAL!Q17+TOTAL!U16+TOTAL!U14+TOTAL!Q27)/7</f>
        <v>47.285714285714285</v>
      </c>
      <c r="F346" s="143"/>
      <c r="G346" s="143"/>
    </row>
    <row r="348" spans="3:7" x14ac:dyDescent="0.3">
      <c r="C348" s="275" t="s">
        <v>603</v>
      </c>
      <c r="D348" s="275"/>
      <c r="E348" s="143">
        <f>(TOTAL!Q7+TOTAL!U9+TOTAL!Q17+TOTAL!U16+TOTAL!Q22+TOTAL!Q24+TOTAL!U7)/7</f>
        <v>51.285714285714285</v>
      </c>
      <c r="F348" s="143"/>
      <c r="G348" s="143"/>
    </row>
  </sheetData>
  <mergeCells count="154">
    <mergeCell ref="G5:K5"/>
    <mergeCell ref="C8:O22"/>
    <mergeCell ref="B26:F26"/>
    <mergeCell ref="C30:O33"/>
    <mergeCell ref="B35:O43"/>
    <mergeCell ref="G128:K128"/>
    <mergeCell ref="G132:H132"/>
    <mergeCell ref="I132:J132"/>
    <mergeCell ref="K132:L132"/>
    <mergeCell ref="M132:N132"/>
    <mergeCell ref="B46:C46"/>
    <mergeCell ref="C107:O114"/>
    <mergeCell ref="B117:O123"/>
    <mergeCell ref="B72:O81"/>
    <mergeCell ref="B54:O60"/>
    <mergeCell ref="C85:O91"/>
    <mergeCell ref="B94:O102"/>
    <mergeCell ref="B105:C105"/>
    <mergeCell ref="B62:C62"/>
    <mergeCell ref="C64:O70"/>
    <mergeCell ref="B83:C83"/>
    <mergeCell ref="C48:O52"/>
    <mergeCell ref="O132:P132"/>
    <mergeCell ref="C134:E134"/>
    <mergeCell ref="C136:E136"/>
    <mergeCell ref="C138:E138"/>
    <mergeCell ref="C140:E140"/>
    <mergeCell ref="G134:H134"/>
    <mergeCell ref="I134:J134"/>
    <mergeCell ref="K134:L134"/>
    <mergeCell ref="M134:N134"/>
    <mergeCell ref="O134:P134"/>
    <mergeCell ref="G136:H136"/>
    <mergeCell ref="I136:J136"/>
    <mergeCell ref="K136:L136"/>
    <mergeCell ref="M136:N136"/>
    <mergeCell ref="O136:P136"/>
    <mergeCell ref="F137:P137"/>
    <mergeCell ref="G138:H138"/>
    <mergeCell ref="I138:J138"/>
    <mergeCell ref="K138:L138"/>
    <mergeCell ref="M138:N138"/>
    <mergeCell ref="O138:P138"/>
    <mergeCell ref="E165:P169"/>
    <mergeCell ref="F139:P139"/>
    <mergeCell ref="G140:H140"/>
    <mergeCell ref="I140:J140"/>
    <mergeCell ref="K140:L140"/>
    <mergeCell ref="C142:E142"/>
    <mergeCell ref="C144:E144"/>
    <mergeCell ref="C146:E146"/>
    <mergeCell ref="G143:P143"/>
    <mergeCell ref="F141:P141"/>
    <mergeCell ref="M140:N140"/>
    <mergeCell ref="O140:P140"/>
    <mergeCell ref="E153:P155"/>
    <mergeCell ref="M146:N146"/>
    <mergeCell ref="O146:P146"/>
    <mergeCell ref="F147:P147"/>
    <mergeCell ref="C148:E148"/>
    <mergeCell ref="D152:E152"/>
    <mergeCell ref="G142:H142"/>
    <mergeCell ref="I142:J142"/>
    <mergeCell ref="K142:L142"/>
    <mergeCell ref="M142:N142"/>
    <mergeCell ref="O142:P142"/>
    <mergeCell ref="F145:P145"/>
    <mergeCell ref="D203:F203"/>
    <mergeCell ref="E204:P210"/>
    <mergeCell ref="F135:P135"/>
    <mergeCell ref="F133:P133"/>
    <mergeCell ref="E196:P201"/>
    <mergeCell ref="G148:H148"/>
    <mergeCell ref="I148:J148"/>
    <mergeCell ref="K148:L148"/>
    <mergeCell ref="M148:N148"/>
    <mergeCell ref="O148:P148"/>
    <mergeCell ref="D157:F157"/>
    <mergeCell ref="E188:P193"/>
    <mergeCell ref="D195:F195"/>
    <mergeCell ref="G146:H146"/>
    <mergeCell ref="I146:J146"/>
    <mergeCell ref="K146:L146"/>
    <mergeCell ref="E180:P185"/>
    <mergeCell ref="G144:H144"/>
    <mergeCell ref="I144:J144"/>
    <mergeCell ref="K144:L144"/>
    <mergeCell ref="M144:N144"/>
    <mergeCell ref="O144:P144"/>
    <mergeCell ref="E172:P177"/>
    <mergeCell ref="E158:P163"/>
    <mergeCell ref="B243:C243"/>
    <mergeCell ref="L242:L244"/>
    <mergeCell ref="N242:N244"/>
    <mergeCell ref="N216:N218"/>
    <mergeCell ref="N221:N223"/>
    <mergeCell ref="D230:D232"/>
    <mergeCell ref="F230:F232"/>
    <mergeCell ref="D235:D237"/>
    <mergeCell ref="F235:F237"/>
    <mergeCell ref="L230:L232"/>
    <mergeCell ref="N230:N232"/>
    <mergeCell ref="L235:L237"/>
    <mergeCell ref="N235:N237"/>
    <mergeCell ref="D216:D218"/>
    <mergeCell ref="F216:F218"/>
    <mergeCell ref="D221:D223"/>
    <mergeCell ref="F221:F223"/>
    <mergeCell ref="L216:L218"/>
    <mergeCell ref="L221:L223"/>
    <mergeCell ref="L247:L249"/>
    <mergeCell ref="N247:N249"/>
    <mergeCell ref="D253:D255"/>
    <mergeCell ref="F253:F255"/>
    <mergeCell ref="N253:N255"/>
    <mergeCell ref="D242:D244"/>
    <mergeCell ref="F242:F244"/>
    <mergeCell ref="D247:D249"/>
    <mergeCell ref="F247:F249"/>
    <mergeCell ref="J254:K254"/>
    <mergeCell ref="N258:N260"/>
    <mergeCell ref="J259:K259"/>
    <mergeCell ref="D265:D267"/>
    <mergeCell ref="F265:F267"/>
    <mergeCell ref="N265:N267"/>
    <mergeCell ref="D258:D260"/>
    <mergeCell ref="F258:F260"/>
    <mergeCell ref="B254:C254"/>
    <mergeCell ref="L253:L255"/>
    <mergeCell ref="L258:L260"/>
    <mergeCell ref="C346:D346"/>
    <mergeCell ref="C348:D348"/>
    <mergeCell ref="C276:D276"/>
    <mergeCell ref="N270:N272"/>
    <mergeCell ref="J266:K266"/>
    <mergeCell ref="D270:D272"/>
    <mergeCell ref="F270:F272"/>
    <mergeCell ref="B266:C266"/>
    <mergeCell ref="L265:L267"/>
    <mergeCell ref="L270:L272"/>
    <mergeCell ref="C295:D295"/>
    <mergeCell ref="C300:D300"/>
    <mergeCell ref="C305:D305"/>
    <mergeCell ref="C310:D310"/>
    <mergeCell ref="C316:D316"/>
    <mergeCell ref="C344:D344"/>
    <mergeCell ref="C322:D322"/>
    <mergeCell ref="C330:D330"/>
    <mergeCell ref="C332:D332"/>
    <mergeCell ref="C334:D334"/>
    <mergeCell ref="C336:D336"/>
    <mergeCell ref="C338:D338"/>
    <mergeCell ref="C340:D340"/>
    <mergeCell ref="C342:D342"/>
  </mergeCells>
  <conditionalFormatting sqref="G134:H134">
    <cfRule type="cellIs" dxfId="56" priority="144" operator="between">
      <formula>20</formula>
      <formula>33</formula>
    </cfRule>
  </conditionalFormatting>
  <conditionalFormatting sqref="K134:L134">
    <cfRule type="cellIs" dxfId="55" priority="141" operator="between">
      <formula>45</formula>
      <formula>55</formula>
    </cfRule>
  </conditionalFormatting>
  <conditionalFormatting sqref="M134:N134">
    <cfRule type="cellIs" dxfId="54" priority="137" operator="between">
      <formula>56</formula>
      <formula>64</formula>
    </cfRule>
    <cfRule type="cellIs" dxfId="53" priority="138" operator="between">
      <formula>56</formula>
      <formula>64</formula>
    </cfRule>
  </conditionalFormatting>
  <conditionalFormatting sqref="O134:P134">
    <cfRule type="cellIs" dxfId="52" priority="136" operator="between">
      <formula>65</formula>
      <formula>80</formula>
    </cfRule>
  </conditionalFormatting>
  <conditionalFormatting sqref="I134:J134">
    <cfRule type="cellIs" dxfId="51" priority="134" operator="between">
      <formula>34</formula>
      <formula>44</formula>
    </cfRule>
  </conditionalFormatting>
  <conditionalFormatting sqref="G134:J134">
    <cfRule type="cellIs" dxfId="50" priority="86" operator="between">
      <formula>34</formula>
      <formula>45</formula>
    </cfRule>
    <cfRule type="cellIs" dxfId="49" priority="88" operator="between">
      <formula>34</formula>
      <formula>44</formula>
    </cfRule>
  </conditionalFormatting>
  <conditionalFormatting sqref="G134:L134">
    <cfRule type="cellIs" dxfId="48" priority="85" operator="between">
      <formula>45</formula>
      <formula>55</formula>
    </cfRule>
    <cfRule type="cellIs" dxfId="47" priority="87" operator="between">
      <formula>45</formula>
      <formula>55</formula>
    </cfRule>
  </conditionalFormatting>
  <conditionalFormatting sqref="G134:N134">
    <cfRule type="cellIs" dxfId="46" priority="84" operator="between">
      <formula>56</formula>
      <formula>64</formula>
    </cfRule>
  </conditionalFormatting>
  <conditionalFormatting sqref="G134:P134">
    <cfRule type="cellIs" dxfId="45" priority="8" operator="between">
      <formula>0</formula>
      <formula>19</formula>
    </cfRule>
    <cfRule type="cellIs" dxfId="44" priority="83" operator="between">
      <formula>65</formula>
      <formula>80</formula>
    </cfRule>
  </conditionalFormatting>
  <conditionalFormatting sqref="G136:H136">
    <cfRule type="cellIs" dxfId="43" priority="77" operator="between">
      <formula>20</formula>
      <formula>33</formula>
    </cfRule>
    <cfRule type="cellIs" priority="78" operator="between">
      <formula>20</formula>
      <formula>33</formula>
    </cfRule>
    <cfRule type="cellIs" dxfId="42" priority="80" operator="between">
      <formula>20</formula>
      <formula>33</formula>
    </cfRule>
  </conditionalFormatting>
  <conditionalFormatting sqref="G136:J136">
    <cfRule type="cellIs" dxfId="41" priority="76" operator="between">
      <formula>34</formula>
      <formula>44</formula>
    </cfRule>
    <cfRule type="cellIs" dxfId="40" priority="79" operator="between">
      <formula>34</formula>
      <formula>44</formula>
    </cfRule>
  </conditionalFormatting>
  <conditionalFormatting sqref="G136:L136">
    <cfRule type="cellIs" dxfId="39" priority="75" operator="between">
      <formula>45</formula>
      <formula>55</formula>
    </cfRule>
  </conditionalFormatting>
  <conditionalFormatting sqref="G136:N136">
    <cfRule type="cellIs" dxfId="38" priority="74" operator="between">
      <formula>56</formula>
      <formula>64</formula>
    </cfRule>
  </conditionalFormatting>
  <conditionalFormatting sqref="G136:P136">
    <cfRule type="cellIs" dxfId="37" priority="7" operator="between">
      <formula>0</formula>
      <formula>19</formula>
    </cfRule>
    <cfRule type="cellIs" dxfId="36" priority="73" operator="between">
      <formula>65</formula>
      <formula>80</formula>
    </cfRule>
  </conditionalFormatting>
  <conditionalFormatting sqref="G138:H138">
    <cfRule type="cellIs" dxfId="35" priority="42" operator="between">
      <formula>20</formula>
      <formula>33</formula>
    </cfRule>
  </conditionalFormatting>
  <conditionalFormatting sqref="G138:J138">
    <cfRule type="cellIs" dxfId="34" priority="41" operator="between">
      <formula>34</formula>
      <formula>44</formula>
    </cfRule>
  </conditionalFormatting>
  <conditionalFormatting sqref="G138:L138">
    <cfRule type="cellIs" dxfId="33" priority="40" operator="between">
      <formula>45</formula>
      <formula>55</formula>
    </cfRule>
  </conditionalFormatting>
  <conditionalFormatting sqref="G138:N138">
    <cfRule type="cellIs" dxfId="32" priority="39" operator="between">
      <formula>56</formula>
      <formula>64</formula>
    </cfRule>
  </conditionalFormatting>
  <conditionalFormatting sqref="G138:P138">
    <cfRule type="cellIs" dxfId="31" priority="6" operator="between">
      <formula>0</formula>
      <formula>19</formula>
    </cfRule>
    <cfRule type="cellIs" dxfId="30" priority="38" operator="between">
      <formula>65</formula>
      <formula>80</formula>
    </cfRule>
  </conditionalFormatting>
  <conditionalFormatting sqref="G140:H140">
    <cfRule type="cellIs" dxfId="29" priority="33" operator="between">
      <formula>20</formula>
      <formula>33</formula>
    </cfRule>
  </conditionalFormatting>
  <conditionalFormatting sqref="G140:J140">
    <cfRule type="cellIs" dxfId="28" priority="32" operator="between">
      <formula>34</formula>
      <formula>44</formula>
    </cfRule>
  </conditionalFormatting>
  <conditionalFormatting sqref="G140:L140">
    <cfRule type="cellIs" dxfId="27" priority="31" operator="between">
      <formula>44</formula>
      <formula>55</formula>
    </cfRule>
  </conditionalFormatting>
  <conditionalFormatting sqref="G140:N140">
    <cfRule type="cellIs" dxfId="26" priority="30" operator="between">
      <formula>56</formula>
      <formula>64</formula>
    </cfRule>
  </conditionalFormatting>
  <conditionalFormatting sqref="G140:P140">
    <cfRule type="cellIs" dxfId="25" priority="5" operator="between">
      <formula>0</formula>
      <formula>19</formula>
    </cfRule>
    <cfRule type="cellIs" dxfId="24" priority="29" operator="between">
      <formula>65</formula>
      <formula>80</formula>
    </cfRule>
  </conditionalFormatting>
  <conditionalFormatting sqref="G142:H142">
    <cfRule type="cellIs" dxfId="23" priority="28" operator="between">
      <formula>20</formula>
      <formula>33</formula>
    </cfRule>
  </conditionalFormatting>
  <conditionalFormatting sqref="G142:J142">
    <cfRule type="cellIs" dxfId="22" priority="27" operator="between">
      <formula>34</formula>
      <formula>44</formula>
    </cfRule>
  </conditionalFormatting>
  <conditionalFormatting sqref="G142:L142">
    <cfRule type="cellIs" dxfId="21" priority="26" operator="between">
      <formula>45</formula>
      <formula>55</formula>
    </cfRule>
  </conditionalFormatting>
  <conditionalFormatting sqref="G142:N142">
    <cfRule type="cellIs" dxfId="20" priority="25" operator="between">
      <formula>56</formula>
      <formula>64</formula>
    </cfRule>
  </conditionalFormatting>
  <conditionalFormatting sqref="G142:P142">
    <cfRule type="cellIs" dxfId="19" priority="4" operator="between">
      <formula>0</formula>
      <formula>19</formula>
    </cfRule>
    <cfRule type="cellIs" dxfId="18" priority="24" operator="between">
      <formula>65</formula>
      <formula>80</formula>
    </cfRule>
  </conditionalFormatting>
  <conditionalFormatting sqref="G144:H144">
    <cfRule type="cellIs" dxfId="17" priority="23" operator="between">
      <formula>20</formula>
      <formula>33</formula>
    </cfRule>
  </conditionalFormatting>
  <conditionalFormatting sqref="G144:J144">
    <cfRule type="cellIs" dxfId="16" priority="22" operator="between">
      <formula>34</formula>
      <formula>44</formula>
    </cfRule>
  </conditionalFormatting>
  <conditionalFormatting sqref="G144:L144">
    <cfRule type="cellIs" dxfId="15" priority="21" operator="between">
      <formula>45</formula>
      <formula>55</formula>
    </cfRule>
  </conditionalFormatting>
  <conditionalFormatting sqref="G144:N144">
    <cfRule type="cellIs" dxfId="14" priority="20" operator="between">
      <formula>56</formula>
      <formula>64</formula>
    </cfRule>
  </conditionalFormatting>
  <conditionalFormatting sqref="G144:P144">
    <cfRule type="cellIs" dxfId="13" priority="3" operator="between">
      <formula>0</formula>
      <formula>19</formula>
    </cfRule>
    <cfRule type="cellIs" dxfId="12" priority="19" operator="between">
      <formula>65</formula>
      <formula>80</formula>
    </cfRule>
  </conditionalFormatting>
  <conditionalFormatting sqref="G146:H146">
    <cfRule type="cellIs" dxfId="11" priority="18" operator="between">
      <formula>20</formula>
      <formula>33</formula>
    </cfRule>
  </conditionalFormatting>
  <conditionalFormatting sqref="G146:J146">
    <cfRule type="cellIs" dxfId="10" priority="17" operator="between">
      <formula>34</formula>
      <formula>44</formula>
    </cfRule>
  </conditionalFormatting>
  <conditionalFormatting sqref="G146:L146">
    <cfRule type="cellIs" dxfId="9" priority="16" operator="between">
      <formula>45</formula>
      <formula>55</formula>
    </cfRule>
  </conditionalFormatting>
  <conditionalFormatting sqref="G146:N146">
    <cfRule type="cellIs" dxfId="8" priority="15" operator="between">
      <formula>56</formula>
      <formula>64</formula>
    </cfRule>
  </conditionalFormatting>
  <conditionalFormatting sqref="G146:P146">
    <cfRule type="cellIs" dxfId="7" priority="2" operator="between">
      <formula>0</formula>
      <formula>19</formula>
    </cfRule>
    <cfRule type="cellIs" dxfId="6" priority="14" operator="between">
      <formula>65</formula>
      <formula>80</formula>
    </cfRule>
  </conditionalFormatting>
  <conditionalFormatting sqref="G148:H148">
    <cfRule type="cellIs" dxfId="5" priority="13" operator="between">
      <formula>20</formula>
      <formula>33</formula>
    </cfRule>
  </conditionalFormatting>
  <conditionalFormatting sqref="G148:J148">
    <cfRule type="cellIs" dxfId="4" priority="12" operator="between">
      <formula>34</formula>
      <formula>44</formula>
    </cfRule>
  </conditionalFormatting>
  <conditionalFormatting sqref="G148:L148">
    <cfRule type="cellIs" dxfId="3" priority="11" operator="between">
      <formula>45</formula>
      <formula>55</formula>
    </cfRule>
  </conditionalFormatting>
  <conditionalFormatting sqref="G148:N148">
    <cfRule type="cellIs" dxfId="2" priority="10" operator="between">
      <formula>56</formula>
      <formula>64</formula>
    </cfRule>
  </conditionalFormatting>
  <conditionalFormatting sqref="G148:P148">
    <cfRule type="cellIs" dxfId="1" priority="1" operator="between">
      <formula>0</formula>
      <formula>19</formula>
    </cfRule>
    <cfRule type="cellIs" dxfId="0" priority="9" operator="between">
      <formula>65</formula>
      <formula>80</formula>
    </cfRule>
  </conditionalFormatting>
  <pageMargins left="0.7" right="0.7" top="0.75" bottom="0.75" header="0.3" footer="0.3"/>
  <pageSetup paperSize="9" scale="35" orientation="portrait" r:id="rId1"/>
  <rowBreaks count="2" manualBreakCount="2">
    <brk id="124" max="16383" man="1"/>
    <brk id="211" max="18"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6A983-18C7-440A-B46C-4B2BA76F08EF}">
  <dimension ref="D6:AR26"/>
  <sheetViews>
    <sheetView topLeftCell="M1" workbookViewId="0">
      <selection activeCell="AU25" sqref="AU25"/>
    </sheetView>
  </sheetViews>
  <sheetFormatPr baseColWidth="10" defaultRowHeight="14.4" x14ac:dyDescent="0.3"/>
  <cols>
    <col min="4" max="4" width="30.77734375" customWidth="1"/>
    <col min="5" max="48" width="5.77734375" customWidth="1"/>
  </cols>
  <sheetData>
    <row r="6" spans="4:44" ht="16.2" thickBot="1" x14ac:dyDescent="0.35">
      <c r="D6" s="80" t="s">
        <v>469</v>
      </c>
    </row>
    <row r="7" spans="4:44" ht="16.2" thickBot="1" x14ac:dyDescent="0.35">
      <c r="E7" s="384" t="s">
        <v>474</v>
      </c>
      <c r="F7" s="385"/>
      <c r="G7" s="385"/>
      <c r="H7" s="385"/>
      <c r="I7" s="392"/>
      <c r="J7" s="384" t="s">
        <v>384</v>
      </c>
      <c r="K7" s="241"/>
      <c r="L7" s="241"/>
      <c r="M7" s="241"/>
      <c r="N7" s="241"/>
      <c r="O7" s="384" t="s">
        <v>475</v>
      </c>
      <c r="P7" s="241"/>
      <c r="Q7" s="241"/>
      <c r="R7" s="241"/>
      <c r="S7" s="241"/>
      <c r="T7" s="384" t="s">
        <v>386</v>
      </c>
      <c r="U7" s="241"/>
      <c r="V7" s="241"/>
      <c r="W7" s="241"/>
      <c r="X7" s="241"/>
      <c r="Y7" s="384" t="s">
        <v>387</v>
      </c>
      <c r="Z7" s="385"/>
      <c r="AA7" s="385"/>
      <c r="AB7" s="385"/>
      <c r="AC7" s="385"/>
      <c r="AD7" s="384" t="s">
        <v>388</v>
      </c>
      <c r="AE7" s="241"/>
      <c r="AF7" s="241"/>
      <c r="AG7" s="241"/>
      <c r="AH7" s="241"/>
      <c r="AI7" s="386" t="s">
        <v>476</v>
      </c>
      <c r="AJ7" s="387"/>
      <c r="AK7" s="387"/>
      <c r="AL7" s="387"/>
      <c r="AM7" s="387"/>
      <c r="AN7" s="388" t="s">
        <v>390</v>
      </c>
      <c r="AO7" s="389"/>
      <c r="AP7" s="389"/>
      <c r="AQ7" s="389"/>
      <c r="AR7" s="390"/>
    </row>
    <row r="8" spans="4:44" ht="15" thickBot="1" x14ac:dyDescent="0.35">
      <c r="D8" s="118" t="s">
        <v>456</v>
      </c>
      <c r="E8" s="64" t="s">
        <v>470</v>
      </c>
      <c r="F8" s="65" t="s">
        <v>471</v>
      </c>
      <c r="G8" s="65" t="s">
        <v>472</v>
      </c>
      <c r="H8" s="65" t="s">
        <v>452</v>
      </c>
      <c r="I8" s="66" t="s">
        <v>473</v>
      </c>
      <c r="J8" s="64" t="s">
        <v>470</v>
      </c>
      <c r="K8" s="65" t="s">
        <v>471</v>
      </c>
      <c r="L8" s="65" t="s">
        <v>472</v>
      </c>
      <c r="M8" s="65" t="s">
        <v>452</v>
      </c>
      <c r="N8" s="67" t="s">
        <v>473</v>
      </c>
      <c r="O8" s="64" t="s">
        <v>470</v>
      </c>
      <c r="P8" s="65" t="s">
        <v>471</v>
      </c>
      <c r="Q8" s="65" t="s">
        <v>472</v>
      </c>
      <c r="R8" s="65" t="s">
        <v>452</v>
      </c>
      <c r="S8" s="67" t="s">
        <v>473</v>
      </c>
      <c r="T8" s="68" t="s">
        <v>470</v>
      </c>
      <c r="U8" s="69" t="s">
        <v>471</v>
      </c>
      <c r="V8" s="69" t="s">
        <v>472</v>
      </c>
      <c r="W8" s="69" t="s">
        <v>452</v>
      </c>
      <c r="X8" s="70" t="s">
        <v>473</v>
      </c>
      <c r="Y8" s="64" t="s">
        <v>470</v>
      </c>
      <c r="Z8" s="65" t="s">
        <v>471</v>
      </c>
      <c r="AA8" s="65" t="s">
        <v>472</v>
      </c>
      <c r="AB8" s="65" t="s">
        <v>452</v>
      </c>
      <c r="AC8" s="67" t="s">
        <v>473</v>
      </c>
      <c r="AD8" s="64" t="s">
        <v>470</v>
      </c>
      <c r="AE8" s="65" t="s">
        <v>471</v>
      </c>
      <c r="AF8" s="65" t="s">
        <v>472</v>
      </c>
      <c r="AG8" s="65" t="s">
        <v>452</v>
      </c>
      <c r="AH8" s="67" t="s">
        <v>473</v>
      </c>
      <c r="AI8" s="68" t="s">
        <v>470</v>
      </c>
      <c r="AJ8" s="69" t="s">
        <v>471</v>
      </c>
      <c r="AK8" s="69" t="s">
        <v>472</v>
      </c>
      <c r="AL8" s="69" t="s">
        <v>452</v>
      </c>
      <c r="AM8" s="70" t="s">
        <v>473</v>
      </c>
      <c r="AN8" s="64" t="s">
        <v>470</v>
      </c>
      <c r="AO8" s="65" t="s">
        <v>471</v>
      </c>
      <c r="AP8" s="65" t="s">
        <v>472</v>
      </c>
      <c r="AQ8" s="65" t="s">
        <v>452</v>
      </c>
      <c r="AR8" s="66" t="s">
        <v>473</v>
      </c>
    </row>
    <row r="9" spans="4:44" x14ac:dyDescent="0.3">
      <c r="D9" s="124" t="s">
        <v>457</v>
      </c>
      <c r="E9" s="106"/>
      <c r="F9" s="72"/>
      <c r="G9" s="72"/>
      <c r="H9" s="72"/>
      <c r="I9" s="73"/>
      <c r="J9" s="71"/>
      <c r="K9" s="72"/>
      <c r="L9" s="72"/>
      <c r="M9" s="72"/>
      <c r="N9" s="74"/>
      <c r="O9" s="71"/>
      <c r="P9" s="72"/>
      <c r="Q9" s="72"/>
      <c r="R9" s="72"/>
      <c r="S9" s="74"/>
      <c r="T9" s="75"/>
      <c r="U9" s="76"/>
      <c r="V9" s="76"/>
      <c r="W9" s="76"/>
      <c r="X9" s="77"/>
      <c r="Y9" s="75"/>
      <c r="Z9" s="76"/>
      <c r="AA9" s="76"/>
      <c r="AB9" s="76"/>
      <c r="AC9" s="77"/>
      <c r="AD9" s="71"/>
      <c r="AE9" s="72"/>
      <c r="AF9" s="72"/>
      <c r="AG9" s="72"/>
      <c r="AH9" s="74"/>
      <c r="AI9" s="71"/>
      <c r="AJ9" s="72"/>
      <c r="AK9" s="72"/>
      <c r="AL9" s="72"/>
      <c r="AM9" s="74"/>
      <c r="AN9" s="75"/>
      <c r="AO9" s="76"/>
      <c r="AP9" s="76"/>
      <c r="AQ9" s="99"/>
      <c r="AR9" s="100"/>
    </row>
    <row r="10" spans="4:44" x14ac:dyDescent="0.3">
      <c r="D10" s="119" t="s">
        <v>458</v>
      </c>
      <c r="E10" s="107"/>
      <c r="F10" s="79"/>
      <c r="G10" s="79"/>
      <c r="H10" s="79"/>
      <c r="I10" s="63"/>
      <c r="J10" s="78"/>
      <c r="K10" s="79"/>
      <c r="L10" s="79"/>
      <c r="M10" s="79"/>
      <c r="N10" s="62"/>
      <c r="O10" s="78"/>
      <c r="P10" s="79"/>
      <c r="Q10" s="79"/>
      <c r="R10" s="79"/>
      <c r="S10" s="62"/>
      <c r="T10" s="78"/>
      <c r="U10" s="79"/>
      <c r="V10" s="79"/>
      <c r="W10" s="79"/>
      <c r="X10" s="62"/>
      <c r="Y10" s="78"/>
      <c r="Z10" s="79"/>
      <c r="AA10" s="79"/>
      <c r="AB10" s="79"/>
      <c r="AC10" s="62"/>
      <c r="AD10" s="78"/>
      <c r="AE10" s="79"/>
      <c r="AF10" s="79"/>
      <c r="AG10" s="79"/>
      <c r="AH10" s="62"/>
      <c r="AI10" s="78"/>
      <c r="AJ10" s="79"/>
      <c r="AK10" s="79"/>
      <c r="AL10" s="79"/>
      <c r="AM10" s="62"/>
      <c r="AN10" s="78"/>
      <c r="AO10" s="79"/>
      <c r="AP10" s="79"/>
      <c r="AQ10" s="79"/>
      <c r="AR10" s="63"/>
    </row>
    <row r="11" spans="4:44" x14ac:dyDescent="0.3">
      <c r="D11" s="119" t="s">
        <v>459</v>
      </c>
      <c r="E11" s="108"/>
      <c r="F11" s="82"/>
      <c r="G11" s="82"/>
      <c r="H11" s="82"/>
      <c r="I11" s="63"/>
      <c r="J11" s="81"/>
      <c r="K11" s="82"/>
      <c r="L11" s="82"/>
      <c r="M11" s="82"/>
      <c r="N11" s="62"/>
      <c r="O11" s="81"/>
      <c r="P11" s="82"/>
      <c r="Q11" s="82"/>
      <c r="R11" s="1"/>
      <c r="S11" s="62"/>
      <c r="T11" s="81"/>
      <c r="U11" s="82"/>
      <c r="V11" s="82"/>
      <c r="W11" s="82"/>
      <c r="X11" s="62"/>
      <c r="Y11" s="81"/>
      <c r="Z11" s="82"/>
      <c r="AA11" s="82"/>
      <c r="AB11" s="82"/>
      <c r="AC11" s="62"/>
      <c r="AD11" s="81"/>
      <c r="AE11" s="82"/>
      <c r="AF11" s="82"/>
      <c r="AG11" s="82"/>
      <c r="AH11" s="62"/>
      <c r="AI11" s="81"/>
      <c r="AJ11" s="82"/>
      <c r="AK11" s="82"/>
      <c r="AL11" s="82"/>
      <c r="AM11" s="62"/>
      <c r="AN11" s="81"/>
      <c r="AO11" s="82"/>
      <c r="AP11" s="82"/>
      <c r="AQ11" s="82"/>
      <c r="AR11" s="63"/>
    </row>
    <row r="12" spans="4:44" x14ac:dyDescent="0.3">
      <c r="D12" s="120" t="s">
        <v>460</v>
      </c>
      <c r="E12" s="109"/>
      <c r="F12" s="98"/>
      <c r="G12" s="98"/>
      <c r="H12" s="98"/>
      <c r="I12" s="63"/>
      <c r="J12" s="97"/>
      <c r="K12" s="98"/>
      <c r="L12" s="98"/>
      <c r="M12" s="1"/>
      <c r="N12" s="62"/>
      <c r="O12" s="97"/>
      <c r="P12" s="98"/>
      <c r="Q12" s="98"/>
      <c r="R12" s="1"/>
      <c r="S12" s="62"/>
      <c r="T12" s="97"/>
      <c r="U12" s="98"/>
      <c r="V12" s="98"/>
      <c r="W12" s="1"/>
      <c r="X12" s="62"/>
      <c r="Y12" s="97"/>
      <c r="Z12" s="98"/>
      <c r="AA12" s="98"/>
      <c r="AB12" s="98"/>
      <c r="AC12" s="62"/>
      <c r="AD12" s="97"/>
      <c r="AE12" s="98"/>
      <c r="AF12" s="98"/>
      <c r="AG12" s="98"/>
      <c r="AH12" s="62"/>
      <c r="AI12" s="97"/>
      <c r="AJ12" s="98"/>
      <c r="AK12" s="98"/>
      <c r="AL12" s="98"/>
      <c r="AM12" s="62"/>
      <c r="AN12" s="97"/>
      <c r="AO12" s="98"/>
      <c r="AP12" s="98"/>
      <c r="AQ12" s="98"/>
      <c r="AR12" s="63"/>
    </row>
    <row r="13" spans="4:44" x14ac:dyDescent="0.3">
      <c r="D13" s="120" t="s">
        <v>461</v>
      </c>
      <c r="E13" s="110"/>
      <c r="F13" s="88"/>
      <c r="G13" s="88"/>
      <c r="H13" s="88"/>
      <c r="I13" s="63"/>
      <c r="J13" s="87"/>
      <c r="K13" s="88"/>
      <c r="L13" s="88"/>
      <c r="M13" s="88"/>
      <c r="N13" s="62"/>
      <c r="O13" s="87"/>
      <c r="P13" s="88"/>
      <c r="Q13" s="88"/>
      <c r="R13" s="88"/>
      <c r="S13" s="62"/>
      <c r="T13" s="87"/>
      <c r="U13" s="88"/>
      <c r="V13" s="88"/>
      <c r="W13" s="1"/>
      <c r="X13" s="62"/>
      <c r="Y13" s="87"/>
      <c r="Z13" s="88"/>
      <c r="AA13" s="88"/>
      <c r="AB13" s="88"/>
      <c r="AC13" s="62"/>
      <c r="AD13" s="87"/>
      <c r="AE13" s="88"/>
      <c r="AF13" s="88"/>
      <c r="AG13" s="88"/>
      <c r="AH13" s="62"/>
      <c r="AI13" s="87"/>
      <c r="AJ13" s="88"/>
      <c r="AK13" s="88"/>
      <c r="AL13" s="88"/>
      <c r="AM13" s="89"/>
      <c r="AN13" s="87"/>
      <c r="AO13" s="88"/>
      <c r="AP13" s="88"/>
      <c r="AQ13" s="88"/>
      <c r="AR13" s="63"/>
    </row>
    <row r="14" spans="4:44" x14ac:dyDescent="0.3">
      <c r="D14" s="120" t="s">
        <v>462</v>
      </c>
      <c r="E14" s="110"/>
      <c r="F14" s="88"/>
      <c r="G14" s="88"/>
      <c r="H14" s="88"/>
      <c r="I14" s="63"/>
      <c r="J14" s="87"/>
      <c r="K14" s="88"/>
      <c r="L14" s="88"/>
      <c r="M14" s="88"/>
      <c r="N14" s="62"/>
      <c r="O14" s="87"/>
      <c r="P14" s="88"/>
      <c r="Q14" s="88"/>
      <c r="R14" s="88"/>
      <c r="S14" s="62"/>
      <c r="T14" s="87"/>
      <c r="U14" s="88"/>
      <c r="V14" s="88"/>
      <c r="W14" s="1"/>
      <c r="X14" s="62"/>
      <c r="Y14" s="87"/>
      <c r="Z14" s="88"/>
      <c r="AA14" s="88"/>
      <c r="AB14" s="1"/>
      <c r="AC14" s="62"/>
      <c r="AD14" s="87"/>
      <c r="AE14" s="88"/>
      <c r="AF14" s="88"/>
      <c r="AG14" s="1"/>
      <c r="AH14" s="62"/>
      <c r="AI14" s="87"/>
      <c r="AJ14" s="88"/>
      <c r="AK14" s="88"/>
      <c r="AL14" s="88"/>
      <c r="AM14" s="89"/>
      <c r="AN14" s="87"/>
      <c r="AO14" s="88"/>
      <c r="AP14" s="88"/>
      <c r="AQ14" s="1"/>
      <c r="AR14" s="63"/>
    </row>
    <row r="15" spans="4:44" x14ac:dyDescent="0.3">
      <c r="D15" s="120" t="s">
        <v>463</v>
      </c>
      <c r="E15" s="111"/>
      <c r="F15" s="84"/>
      <c r="G15" s="84"/>
      <c r="H15" s="84"/>
      <c r="I15" s="63"/>
      <c r="J15" s="83"/>
      <c r="K15" s="84"/>
      <c r="L15" s="84"/>
      <c r="M15" s="1"/>
      <c r="N15" s="62"/>
      <c r="O15" s="83"/>
      <c r="P15" s="84"/>
      <c r="Q15" s="84"/>
      <c r="R15" s="1"/>
      <c r="S15" s="62"/>
      <c r="T15" s="83"/>
      <c r="U15" s="84"/>
      <c r="V15" s="84"/>
      <c r="W15" s="84"/>
      <c r="X15" s="85"/>
      <c r="Y15" s="83"/>
      <c r="Z15" s="84"/>
      <c r="AA15" s="84"/>
      <c r="AB15" s="84"/>
      <c r="AC15" s="85"/>
      <c r="AD15" s="83"/>
      <c r="AE15" s="84"/>
      <c r="AF15" s="84"/>
      <c r="AG15" s="84"/>
      <c r="AH15" s="85"/>
      <c r="AI15" s="83"/>
      <c r="AJ15" s="84"/>
      <c r="AK15" s="84"/>
      <c r="AL15" s="84"/>
      <c r="AM15" s="85"/>
      <c r="AN15" s="83"/>
      <c r="AO15" s="84"/>
      <c r="AP15" s="84"/>
      <c r="AQ15" s="84"/>
      <c r="AR15" s="86"/>
    </row>
    <row r="16" spans="4:44" x14ac:dyDescent="0.3">
      <c r="D16" s="121" t="s">
        <v>464</v>
      </c>
      <c r="E16" s="112"/>
      <c r="F16" s="91"/>
      <c r="G16" s="1"/>
      <c r="H16" s="1"/>
      <c r="I16" s="63"/>
      <c r="J16" s="90"/>
      <c r="K16" s="91"/>
      <c r="L16" s="91"/>
      <c r="M16" s="91"/>
      <c r="N16" s="62"/>
      <c r="O16" s="90"/>
      <c r="P16" s="91"/>
      <c r="Q16" s="91"/>
      <c r="R16" s="91"/>
      <c r="S16" s="96"/>
      <c r="T16" s="90"/>
      <c r="U16" s="91"/>
      <c r="V16" s="91"/>
      <c r="W16" s="1"/>
      <c r="X16" s="62"/>
      <c r="Y16" s="90"/>
      <c r="Z16" s="91"/>
      <c r="AA16" s="1"/>
      <c r="AB16" s="1"/>
      <c r="AC16" s="62"/>
      <c r="AD16" s="90"/>
      <c r="AE16" s="91"/>
      <c r="AF16" s="91"/>
      <c r="AG16" s="1"/>
      <c r="AH16" s="62"/>
      <c r="AI16" s="90"/>
      <c r="AJ16" s="91"/>
      <c r="AK16" s="91"/>
      <c r="AL16" s="91"/>
      <c r="AM16" s="96"/>
      <c r="AN16" s="90"/>
      <c r="AO16" s="91"/>
      <c r="AP16" s="91"/>
      <c r="AQ16" s="1"/>
      <c r="AR16" s="63"/>
    </row>
    <row r="17" spans="4:44" x14ac:dyDescent="0.3">
      <c r="D17" s="122" t="s">
        <v>465</v>
      </c>
      <c r="E17" s="112"/>
      <c r="F17" s="91"/>
      <c r="G17" s="1"/>
      <c r="H17" s="1"/>
      <c r="I17" s="63"/>
      <c r="J17" s="90"/>
      <c r="K17" s="91"/>
      <c r="L17" s="91"/>
      <c r="M17" s="1"/>
      <c r="N17" s="62"/>
      <c r="O17" s="90"/>
      <c r="P17" s="91"/>
      <c r="Q17" s="91"/>
      <c r="R17" s="1"/>
      <c r="S17" s="62"/>
      <c r="T17" s="90"/>
      <c r="U17" s="91"/>
      <c r="V17" s="91"/>
      <c r="W17" s="1"/>
      <c r="X17" s="62"/>
      <c r="Y17" s="90"/>
      <c r="Z17" s="91"/>
      <c r="AA17" s="1"/>
      <c r="AB17" s="1"/>
      <c r="AC17" s="62"/>
      <c r="AD17" s="90"/>
      <c r="AE17" s="91"/>
      <c r="AF17" s="91"/>
      <c r="AG17" s="1"/>
      <c r="AH17" s="62"/>
      <c r="AI17" s="90"/>
      <c r="AJ17" s="91"/>
      <c r="AK17" s="91"/>
      <c r="AL17" s="91"/>
      <c r="AM17" s="96"/>
      <c r="AN17" s="90"/>
      <c r="AO17" s="91"/>
      <c r="AP17" s="91"/>
      <c r="AQ17" s="1"/>
      <c r="AR17" s="63"/>
    </row>
    <row r="18" spans="4:44" x14ac:dyDescent="0.3">
      <c r="D18" s="123" t="s">
        <v>466</v>
      </c>
      <c r="E18" s="113"/>
      <c r="F18" s="93"/>
      <c r="G18" s="93"/>
      <c r="H18" s="1"/>
      <c r="I18" s="63"/>
      <c r="J18" s="92"/>
      <c r="K18" s="93"/>
      <c r="L18" s="93"/>
      <c r="M18" s="93"/>
      <c r="N18" s="62"/>
      <c r="O18" s="90"/>
      <c r="P18" s="91"/>
      <c r="Q18" s="91"/>
      <c r="R18" s="91"/>
      <c r="S18" s="96"/>
      <c r="T18" s="90"/>
      <c r="U18" s="91"/>
      <c r="V18" s="91"/>
      <c r="W18" s="1"/>
      <c r="X18" s="62"/>
      <c r="Y18" s="90"/>
      <c r="Z18" s="91"/>
      <c r="AA18" s="1"/>
      <c r="AB18" s="1"/>
      <c r="AC18" s="62"/>
      <c r="AD18" s="90"/>
      <c r="AE18" s="91"/>
      <c r="AF18" s="91"/>
      <c r="AG18" s="1"/>
      <c r="AH18" s="62"/>
      <c r="AI18" s="90"/>
      <c r="AJ18" s="91"/>
      <c r="AK18" s="91"/>
      <c r="AL18" s="91"/>
      <c r="AM18" s="62"/>
      <c r="AN18" s="90"/>
      <c r="AO18" s="91"/>
      <c r="AP18" s="91"/>
      <c r="AQ18" s="1"/>
      <c r="AR18" s="63"/>
    </row>
    <row r="19" spans="4:44" x14ac:dyDescent="0.3">
      <c r="D19" s="391" t="s">
        <v>467</v>
      </c>
      <c r="E19" s="114"/>
      <c r="F19" s="95"/>
      <c r="G19" s="1"/>
      <c r="H19" s="1"/>
      <c r="I19" s="63"/>
      <c r="J19" s="94"/>
      <c r="K19" s="95"/>
      <c r="L19" s="1"/>
      <c r="M19" s="1"/>
      <c r="N19" s="62"/>
      <c r="O19" s="94"/>
      <c r="P19" s="95"/>
      <c r="Q19" s="95"/>
      <c r="R19" s="1"/>
      <c r="S19" s="62"/>
      <c r="T19" s="94"/>
      <c r="U19" s="95"/>
      <c r="V19" s="95"/>
      <c r="W19" s="1"/>
      <c r="X19" s="62"/>
      <c r="Y19" s="94"/>
      <c r="Z19" s="95"/>
      <c r="AA19" s="1"/>
      <c r="AB19" s="1"/>
      <c r="AC19" s="62"/>
      <c r="AD19" s="94"/>
      <c r="AE19" s="95"/>
      <c r="AF19" s="95"/>
      <c r="AG19" s="1"/>
      <c r="AH19" s="62"/>
      <c r="AI19" s="94"/>
      <c r="AJ19" s="95"/>
      <c r="AK19" s="95"/>
      <c r="AL19" s="95"/>
      <c r="AM19" s="62"/>
      <c r="AN19" s="94"/>
      <c r="AO19" s="95"/>
      <c r="AP19" s="95"/>
      <c r="AQ19" s="1"/>
      <c r="AR19" s="63"/>
    </row>
    <row r="20" spans="4:44" x14ac:dyDescent="0.3">
      <c r="D20" s="391"/>
      <c r="E20" s="114"/>
      <c r="F20" s="95"/>
      <c r="G20" s="1"/>
      <c r="H20" s="1"/>
      <c r="I20" s="63"/>
      <c r="J20" s="94"/>
      <c r="K20" s="95"/>
      <c r="L20" s="1"/>
      <c r="M20" s="1"/>
      <c r="N20" s="62"/>
      <c r="O20" s="94"/>
      <c r="P20" s="95"/>
      <c r="Q20" s="95"/>
      <c r="R20" s="1"/>
      <c r="S20" s="62"/>
      <c r="T20" s="94"/>
      <c r="U20" s="95"/>
      <c r="V20" s="95"/>
      <c r="W20" s="1"/>
      <c r="X20" s="62"/>
      <c r="Y20" s="94"/>
      <c r="Z20" s="95"/>
      <c r="AA20" s="1"/>
      <c r="AB20" s="1"/>
      <c r="AC20" s="62"/>
      <c r="AD20" s="94"/>
      <c r="AE20" s="95"/>
      <c r="AF20" s="95"/>
      <c r="AG20" s="1"/>
      <c r="AH20" s="62"/>
      <c r="AI20" s="94"/>
      <c r="AJ20" s="95"/>
      <c r="AK20" s="95"/>
      <c r="AL20" s="95"/>
      <c r="AM20" s="62"/>
      <c r="AN20" s="94"/>
      <c r="AO20" s="95"/>
      <c r="AP20" s="95"/>
      <c r="AQ20" s="1"/>
      <c r="AR20" s="63"/>
    </row>
    <row r="21" spans="4:44" x14ac:dyDescent="0.3">
      <c r="D21" s="121" t="s">
        <v>468</v>
      </c>
      <c r="E21" s="115"/>
      <c r="F21" s="102"/>
      <c r="G21" s="102"/>
      <c r="H21" s="102"/>
      <c r="I21" s="103"/>
      <c r="J21" s="101"/>
      <c r="K21" s="102"/>
      <c r="L21" s="102"/>
      <c r="M21" s="104"/>
      <c r="N21" s="105"/>
      <c r="O21" s="101"/>
      <c r="P21" s="102"/>
      <c r="Q21" s="102"/>
      <c r="R21" s="104"/>
      <c r="S21" s="105"/>
      <c r="T21" s="101"/>
      <c r="U21" s="102"/>
      <c r="V21" s="102"/>
      <c r="W21" s="102"/>
      <c r="X21" s="105"/>
      <c r="Y21" s="101"/>
      <c r="Z21" s="102"/>
      <c r="AA21" s="102"/>
      <c r="AB21" s="102"/>
      <c r="AC21" s="105"/>
      <c r="AD21" s="101"/>
      <c r="AE21" s="102"/>
      <c r="AF21" s="102"/>
      <c r="AG21" s="102"/>
      <c r="AH21" s="105"/>
      <c r="AI21" s="101"/>
      <c r="AJ21" s="102"/>
      <c r="AK21" s="102"/>
      <c r="AL21" s="102"/>
      <c r="AM21" s="105"/>
      <c r="AN21" s="101"/>
      <c r="AO21" s="102"/>
      <c r="AP21" s="102"/>
      <c r="AQ21" s="102"/>
      <c r="AR21" s="103"/>
    </row>
    <row r="22" spans="4:44" s="56" customFormat="1" x14ac:dyDescent="0.3">
      <c r="D22" s="125" t="s">
        <v>479</v>
      </c>
      <c r="E22" s="116"/>
      <c r="F22" s="57"/>
      <c r="G22" s="57"/>
      <c r="H22" s="57"/>
      <c r="I22" s="57"/>
      <c r="J22" s="57"/>
      <c r="K22" s="57"/>
      <c r="L22" s="57"/>
      <c r="M22" s="57"/>
      <c r="N22" s="57"/>
      <c r="O22" s="128"/>
      <c r="P22" s="128"/>
      <c r="Q22" s="11"/>
      <c r="R22" s="57"/>
      <c r="S22" s="57"/>
      <c r="T22" s="57"/>
      <c r="U22" s="57"/>
      <c r="V22" s="57"/>
      <c r="W22" s="57"/>
      <c r="X22" s="57"/>
      <c r="Y22" s="57"/>
      <c r="Z22" s="57"/>
      <c r="AA22" s="57"/>
      <c r="AB22" s="57"/>
      <c r="AC22" s="57"/>
      <c r="AD22" s="128"/>
      <c r="AE22" s="128"/>
      <c r="AF22" s="128"/>
      <c r="AG22" s="57"/>
      <c r="AH22" s="57"/>
      <c r="AI22" s="128"/>
      <c r="AJ22" s="128"/>
      <c r="AK22" s="128"/>
      <c r="AL22" s="57"/>
      <c r="AM22" s="57"/>
      <c r="AN22" s="57"/>
      <c r="AO22" s="57"/>
      <c r="AP22" s="57"/>
      <c r="AQ22" s="57"/>
      <c r="AR22" s="57"/>
    </row>
    <row r="23" spans="4:44" x14ac:dyDescent="0.3">
      <c r="D23" s="126" t="s">
        <v>480</v>
      </c>
      <c r="E23" s="117"/>
      <c r="F23" s="1"/>
      <c r="G23" s="1"/>
      <c r="H23" s="1"/>
      <c r="I23" s="1"/>
      <c r="J23" s="129"/>
      <c r="K23" s="129"/>
      <c r="L23" s="129"/>
      <c r="M23" s="130"/>
      <c r="N23" s="1"/>
      <c r="O23" s="129"/>
      <c r="P23" s="129"/>
      <c r="Q23" s="129"/>
      <c r="R23" s="129"/>
      <c r="S23" s="1"/>
      <c r="T23" s="129"/>
      <c r="U23" s="129"/>
      <c r="V23" s="129"/>
      <c r="W23" s="1"/>
      <c r="X23" s="1"/>
      <c r="Y23" s="129"/>
      <c r="Z23" s="129"/>
      <c r="AA23" s="129"/>
      <c r="AB23" s="129"/>
      <c r="AC23" s="1"/>
      <c r="AD23" s="129"/>
      <c r="AE23" s="129"/>
      <c r="AF23" s="129"/>
      <c r="AG23" s="129"/>
      <c r="AH23" s="1"/>
      <c r="AI23" s="129"/>
      <c r="AJ23" s="129"/>
      <c r="AK23" s="129"/>
      <c r="AL23" s="1"/>
      <c r="AM23" s="1"/>
      <c r="AN23" s="129"/>
      <c r="AO23" s="129"/>
      <c r="AP23" s="129"/>
      <c r="AQ23" s="1"/>
      <c r="AR23" s="1"/>
    </row>
    <row r="24" spans="4:44" x14ac:dyDescent="0.3">
      <c r="D24" s="126" t="s">
        <v>481</v>
      </c>
      <c r="E24" s="117"/>
      <c r="F24" s="1"/>
      <c r="G24" s="1"/>
      <c r="H24" s="1"/>
      <c r="I24" s="1"/>
      <c r="J24" s="82"/>
      <c r="K24" s="82"/>
      <c r="L24" s="82"/>
      <c r="M24" s="57"/>
      <c r="N24" s="1"/>
      <c r="O24" s="82"/>
      <c r="P24" s="82"/>
      <c r="Q24" s="82"/>
      <c r="R24" s="82"/>
      <c r="S24" s="1"/>
      <c r="T24" s="82"/>
      <c r="U24" s="82"/>
      <c r="V24" s="82"/>
      <c r="W24" s="1"/>
      <c r="X24" s="1"/>
      <c r="Y24" s="82"/>
      <c r="Z24" s="82"/>
      <c r="AA24" s="82"/>
      <c r="AB24" s="1"/>
      <c r="AC24" s="1"/>
      <c r="AD24" s="82"/>
      <c r="AE24" s="82"/>
      <c r="AF24" s="82"/>
      <c r="AG24" s="82"/>
      <c r="AH24" s="1"/>
      <c r="AI24" s="82"/>
      <c r="AJ24" s="82"/>
      <c r="AK24" s="82"/>
      <c r="AL24" s="82"/>
      <c r="AM24" s="1"/>
      <c r="AN24" s="82"/>
      <c r="AO24" s="82"/>
      <c r="AP24" s="82"/>
      <c r="AQ24" s="1"/>
      <c r="AR24" s="1"/>
    </row>
    <row r="25" spans="4:44" ht="15" thickBot="1" x14ac:dyDescent="0.35">
      <c r="D25" s="127" t="s">
        <v>482</v>
      </c>
      <c r="E25" s="117"/>
      <c r="F25" s="1"/>
      <c r="G25" s="1"/>
      <c r="H25" s="1"/>
      <c r="I25" s="1"/>
      <c r="J25" s="131"/>
      <c r="K25" s="131"/>
      <c r="L25" s="131"/>
      <c r="M25" s="131"/>
      <c r="N25" s="1"/>
      <c r="O25" s="131"/>
      <c r="P25" s="131"/>
      <c r="Q25" s="131"/>
      <c r="R25" s="131"/>
      <c r="S25" s="1"/>
      <c r="T25" s="1"/>
      <c r="U25" s="1"/>
      <c r="V25" s="1"/>
      <c r="W25" s="1"/>
      <c r="X25" s="1"/>
      <c r="Y25" s="1"/>
      <c r="Z25" s="1"/>
      <c r="AA25" s="1"/>
      <c r="AB25" s="1"/>
      <c r="AC25" s="1"/>
      <c r="AD25" s="131"/>
      <c r="AE25" s="131"/>
      <c r="AF25" s="131"/>
      <c r="AG25" s="1"/>
      <c r="AH25" s="1"/>
      <c r="AI25" s="131"/>
      <c r="AJ25" s="131"/>
      <c r="AK25" s="131"/>
      <c r="AL25" s="131"/>
      <c r="AM25" s="1"/>
      <c r="AN25" s="1"/>
      <c r="AO25" s="1"/>
      <c r="AP25" s="1"/>
      <c r="AQ25" s="1"/>
      <c r="AR25" s="1"/>
    </row>
    <row r="26" spans="4:44" x14ac:dyDescent="0.3">
      <c r="D26" t="s">
        <v>478</v>
      </c>
    </row>
  </sheetData>
  <mergeCells count="9">
    <mergeCell ref="Y7:AC7"/>
    <mergeCell ref="AD7:AH7"/>
    <mergeCell ref="AI7:AM7"/>
    <mergeCell ref="AN7:AR7"/>
    <mergeCell ref="D19:D20"/>
    <mergeCell ref="E7:I7"/>
    <mergeCell ref="J7:N7"/>
    <mergeCell ref="O7:S7"/>
    <mergeCell ref="T7:X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1</vt:i4>
      </vt:variant>
    </vt:vector>
  </HeadingPairs>
  <TitlesOfParts>
    <vt:vector size="7" baseType="lpstr">
      <vt:lpstr>Questionnaire </vt:lpstr>
      <vt:lpstr>Résultat</vt:lpstr>
      <vt:lpstr>TOTAL</vt:lpstr>
      <vt:lpstr>Feuil1</vt:lpstr>
      <vt:lpstr>pv</vt:lpstr>
      <vt:lpstr>type de poste </vt:lpstr>
      <vt:lpstr>pv!Zone_d_impression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2006-09-12T15:06:44Z</dcterms:created>
  <dcterms:modified xsi:type="dcterms:W3CDTF">2024-07-15T15:17:04Z</dcterms:modified>
</cp:coreProperties>
</file>